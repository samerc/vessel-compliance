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2" sheetId="1" r:id="rId1"/>
    <sheet name="2026" sheetId="2" r:id="rId2"/>
    <sheet name="Sheet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/mm/yyyy"/>
    <numFmt numFmtId="166" formatCode="dd/mm/yyyy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165" fontId="0" fillId="0" borderId="0" xfId="0" applyNumberFormat="1"/>
    <xf numFmtId="166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6"/>
  <sheetViews>
    <sheetView workbookViewId="0" rightToLeft="0"/>
  </sheetViews>
  <sheetData>
    <row r="1">
      <c r="A1" s="3" t="str">
        <v>Date</v>
      </c>
      <c r="B1" s="3" t="str">
        <v>Cover</v>
      </c>
      <c r="C1" s="3" t="str">
        <v>Managers</v>
      </c>
      <c r="D1" s="3" t="str">
        <v>Vessel</v>
      </c>
      <c r="E1" s="3" t="str">
        <v>IMO</v>
      </c>
      <c r="F1" s="3" t="str">
        <v>Type</v>
      </c>
      <c r="G1" s="3" t="str">
        <v>Broker</v>
      </c>
      <c r="H1" s="3" t="str">
        <v>Prepared By</v>
      </c>
    </row>
    <row r="2">
      <c r="A2" s="3">
        <v>44837</v>
      </c>
      <c r="B2" s="3" t="str">
        <v>Q/H/22/0001</v>
      </c>
      <c r="C2" s="3" t="str">
        <v>Beijing ASL</v>
      </c>
      <c r="D2" s="3" t="str">
        <v>Marya</v>
      </c>
      <c r="E2" s="3">
        <v>9158771</v>
      </c>
      <c r="G2" s="3" t="str">
        <v>Brandenburg</v>
      </c>
      <c r="H2" s="3" t="str">
        <v>Samer</v>
      </c>
    </row>
    <row r="3">
      <c r="A3" s="3">
        <v>44837</v>
      </c>
      <c r="B3" s="3" t="str">
        <v>Q/H/22/0002</v>
      </c>
      <c r="C3" s="3" t="str">
        <v>Amathus Shipmanagement</v>
      </c>
      <c r="D3" s="3" t="str">
        <v>Lugano</v>
      </c>
      <c r="E3" s="3">
        <v>9132662</v>
      </c>
      <c r="G3" s="3" t="str">
        <v>Sarnia</v>
      </c>
      <c r="H3" s="3" t="str">
        <v>Samer</v>
      </c>
    </row>
    <row r="4">
      <c r="A4" s="3">
        <v>44837</v>
      </c>
      <c r="B4" s="3" t="str">
        <v>Q/W/22/0003</v>
      </c>
      <c r="C4" s="3" t="str">
        <v>Amathus Shipmanagement</v>
      </c>
      <c r="D4" s="3" t="str">
        <v>Lugano</v>
      </c>
      <c r="E4" s="3">
        <v>9132662</v>
      </c>
      <c r="G4" s="3" t="str">
        <v>Sarnia</v>
      </c>
      <c r="H4" s="3" t="str">
        <v>Samer</v>
      </c>
    </row>
    <row r="5">
      <c r="A5" s="3">
        <v>44837</v>
      </c>
      <c r="B5" s="3" t="str">
        <v>Q/H/22/0004</v>
      </c>
      <c r="C5" s="3" t="str">
        <v>Beijing ASL</v>
      </c>
      <c r="D5" s="3" t="str">
        <v>Tanya</v>
      </c>
      <c r="E5" s="3">
        <v>9153135</v>
      </c>
      <c r="G5" s="3" t="str">
        <v>Brandenburg</v>
      </c>
      <c r="H5" s="3" t="str">
        <v>Samer</v>
      </c>
    </row>
    <row r="6">
      <c r="A6" s="3">
        <v>44837</v>
      </c>
      <c r="B6" s="3" t="str">
        <v>Q/H/22/0005</v>
      </c>
      <c r="C6" s="3" t="str">
        <v xml:space="preserve">MCD Denizcilik </v>
      </c>
      <c r="D6" s="3" t="str">
        <v>Karamel</v>
      </c>
      <c r="E6" s="3">
        <v>7915723</v>
      </c>
      <c r="G6" s="3" t="str">
        <v>Sarnia</v>
      </c>
      <c r="H6" s="3" t="str">
        <v>Samer</v>
      </c>
    </row>
    <row r="7">
      <c r="A7" s="3">
        <v>44838</v>
      </c>
      <c r="B7" s="3" t="str">
        <v>Q/H/22/0006</v>
      </c>
      <c r="C7" s="3" t="str">
        <v>TBA</v>
      </c>
      <c r="D7" s="3" t="str">
        <v>Sea Amazon H</v>
      </c>
      <c r="E7" s="3">
        <v>9104263</v>
      </c>
      <c r="G7" s="3" t="str">
        <v>Sarnia</v>
      </c>
      <c r="H7" s="3" t="str">
        <v>Samer</v>
      </c>
    </row>
    <row r="8">
      <c r="A8" s="3">
        <v>44839</v>
      </c>
      <c r="B8" s="3" t="str">
        <v>Q/H/22/0007</v>
      </c>
      <c r="C8" s="3" t="str">
        <v>Malak Ship Trader Co</v>
      </c>
      <c r="D8" s="3" t="str">
        <v>Vadi</v>
      </c>
      <c r="E8" s="3">
        <v>9077898</v>
      </c>
      <c r="G8" s="3" t="str">
        <v>IPIC</v>
      </c>
      <c r="H8" s="3" t="str">
        <v>Samer</v>
      </c>
    </row>
    <row r="9">
      <c r="A9" s="3">
        <v>44840</v>
      </c>
      <c r="B9" s="3" t="str">
        <v>Q/H/22/0008</v>
      </c>
      <c r="D9" s="3" t="str">
        <v>Prince Ezz</v>
      </c>
      <c r="G9" s="3" t="str">
        <v>Mesco</v>
      </c>
      <c r="H9" s="3" t="str">
        <v>Samer</v>
      </c>
    </row>
    <row r="10">
      <c r="A10" s="3">
        <v>44840</v>
      </c>
      <c r="B10" s="3" t="str">
        <v>Q/P/22/0009</v>
      </c>
      <c r="D10" s="3" t="str">
        <v>Prince Ezz</v>
      </c>
      <c r="G10" s="3" t="str">
        <v>Mesco</v>
      </c>
      <c r="H10" s="3" t="str">
        <v>Samer</v>
      </c>
    </row>
    <row r="11">
      <c r="A11" s="3">
        <v>44840</v>
      </c>
      <c r="B11" s="3" t="str">
        <v>Q/Y/22/0010</v>
      </c>
      <c r="D11" s="3" t="str">
        <v>Exodus</v>
      </c>
      <c r="G11" s="3" t="str">
        <v>Marsh</v>
      </c>
      <c r="H11" s="3" t="str">
        <v>Samer</v>
      </c>
    </row>
    <row r="12">
      <c r="A12" s="3">
        <v>44841</v>
      </c>
      <c r="B12" s="3" t="str">
        <v>Q/P/22/0011</v>
      </c>
      <c r="C12" s="3" t="str">
        <v>Edro Shipping Co</v>
      </c>
      <c r="D12" s="3" t="str">
        <v>Edro IV</v>
      </c>
      <c r="E12" s="3">
        <v>8843886</v>
      </c>
      <c r="G12" s="3" t="str">
        <v>GMCG</v>
      </c>
      <c r="H12" s="3" t="str">
        <v>Samer</v>
      </c>
    </row>
    <row r="13">
      <c r="A13" s="3">
        <v>44841</v>
      </c>
      <c r="B13" s="3" t="str">
        <v>Q/H/22/0012</v>
      </c>
      <c r="D13" s="3" t="str">
        <v>Taiho</v>
      </c>
      <c r="H13" s="3" t="str">
        <v>Samer</v>
      </c>
    </row>
    <row r="14">
      <c r="A14" s="3">
        <v>44841</v>
      </c>
      <c r="B14" s="3" t="str">
        <v>Q/V/22/0013</v>
      </c>
      <c r="D14" s="3" t="str">
        <v>Marisa N</v>
      </c>
      <c r="G14" s="3" t="str">
        <v>IPIC</v>
      </c>
      <c r="H14" s="3" t="str">
        <v>Samer</v>
      </c>
    </row>
    <row r="15">
      <c r="A15" s="3">
        <v>44845</v>
      </c>
      <c r="B15" s="3" t="str">
        <v>Q/H/22/0014</v>
      </c>
      <c r="C15" s="3" t="str">
        <v>Rana Maritime Service S.A.</v>
      </c>
      <c r="D15" s="3" t="str">
        <v>Dragon</v>
      </c>
      <c r="E15" s="3">
        <v>7303231</v>
      </c>
      <c r="F15" s="3" t="str">
        <v>MLV</v>
      </c>
      <c r="G15" s="3" t="str">
        <v>Direct</v>
      </c>
      <c r="H15" s="3" t="str">
        <v>Samer</v>
      </c>
    </row>
    <row r="16">
      <c r="A16" s="3">
        <v>44845</v>
      </c>
      <c r="B16" s="3" t="str">
        <v>Q/P/22/0015</v>
      </c>
      <c r="C16" s="3" t="str">
        <v>Rana Maritime Service S.A.</v>
      </c>
      <c r="D16" s="3" t="str">
        <v>Dragon</v>
      </c>
      <c r="E16" s="3">
        <v>7303231</v>
      </c>
      <c r="F16" s="3" t="str">
        <v>MLV</v>
      </c>
      <c r="G16" s="3" t="str">
        <v>Direct</v>
      </c>
      <c r="H16" s="3" t="str">
        <v>Samer</v>
      </c>
    </row>
    <row r="17">
      <c r="A17" s="3">
        <v>44845</v>
      </c>
      <c r="B17" s="3" t="str">
        <v>Q/W/22/0016</v>
      </c>
      <c r="C17" s="3" t="str">
        <v>Rana Maritime Service S.A.</v>
      </c>
      <c r="D17" s="3" t="str">
        <v>Dragon</v>
      </c>
      <c r="E17" s="3">
        <v>7303231</v>
      </c>
      <c r="F17" s="3" t="str">
        <v>MLV</v>
      </c>
      <c r="G17" s="3" t="str">
        <v>Direct</v>
      </c>
      <c r="H17" s="3" t="str">
        <v>Samer</v>
      </c>
    </row>
    <row r="18">
      <c r="A18" s="3">
        <v>44846</v>
      </c>
      <c r="B18" s="3" t="str">
        <v>Q/H/22/0017</v>
      </c>
      <c r="C18" s="3" t="str">
        <v>Mas Shipping</v>
      </c>
      <c r="D18" s="3" t="str">
        <v>Yosor</v>
      </c>
      <c r="E18" s="3">
        <v>7819113</v>
      </c>
      <c r="G18" s="3" t="str">
        <v>Direct</v>
      </c>
      <c r="H18" s="3" t="str">
        <v>Samer</v>
      </c>
    </row>
    <row r="19">
      <c r="A19" s="3">
        <v>44846</v>
      </c>
      <c r="B19" s="3" t="str">
        <v>Q/P/22/0018</v>
      </c>
      <c r="C19" s="3" t="str">
        <v>Mas Shipping</v>
      </c>
      <c r="D19" s="3" t="str">
        <v>Yosor</v>
      </c>
      <c r="E19" s="3">
        <v>7819113</v>
      </c>
      <c r="G19" s="3" t="str">
        <v>Direct</v>
      </c>
      <c r="H19" s="3" t="str">
        <v>Samer</v>
      </c>
    </row>
    <row r="20">
      <c r="A20" s="3">
        <v>44846</v>
      </c>
      <c r="B20" s="3" t="str">
        <v>Q/C/22/0019</v>
      </c>
      <c r="C20" s="3" t="str">
        <v>SARL Christian Gesland et Fils</v>
      </c>
      <c r="D20" s="3" t="str">
        <v>Queensland</v>
      </c>
      <c r="E20" s="3">
        <v>9186390</v>
      </c>
      <c r="G20" s="3" t="str">
        <v>Direct</v>
      </c>
      <c r="H20" s="3" t="str">
        <v>Mira</v>
      </c>
    </row>
    <row r="21">
      <c r="A21" s="3">
        <v>44847</v>
      </c>
      <c r="B21" s="3" t="str">
        <v>Q/H/22/0020</v>
      </c>
      <c r="C21" s="3" t="str">
        <v>Talia Shipping Line Co.</v>
      </c>
      <c r="D21" s="3" t="str">
        <v>Talia</v>
      </c>
      <c r="F21" s="3" t="str">
        <v>MLV</v>
      </c>
      <c r="G21" s="3" t="str">
        <v>Direct</v>
      </c>
      <c r="H21" s="3" t="str">
        <v>Samer</v>
      </c>
    </row>
    <row r="22">
      <c r="A22" s="3">
        <v>44847</v>
      </c>
      <c r="B22" s="3" t="str">
        <v>Q/P/22/0021</v>
      </c>
      <c r="C22" s="3" t="str">
        <v>Talia Shipping Line Co.</v>
      </c>
      <c r="D22" s="3" t="str">
        <v>Julia AK</v>
      </c>
      <c r="F22" s="3" t="str">
        <v>MLV</v>
      </c>
      <c r="G22" s="3" t="str">
        <v>Direct</v>
      </c>
      <c r="H22" s="3" t="str">
        <v>Samer</v>
      </c>
    </row>
    <row r="23">
      <c r="A23" s="3">
        <v>44847</v>
      </c>
      <c r="B23" s="3" t="str">
        <v>Q/W/22/0022</v>
      </c>
      <c r="C23" s="3" t="str">
        <v>Talia Shipping Line Co.</v>
      </c>
      <c r="D23" s="3" t="str">
        <v>Karim Allah</v>
      </c>
      <c r="F23" s="3" t="str">
        <v>MLV</v>
      </c>
      <c r="G23" s="3" t="str">
        <v>Direct</v>
      </c>
      <c r="H23" s="3" t="str">
        <v>Samer</v>
      </c>
    </row>
    <row r="24">
      <c r="A24" s="3">
        <v>44848</v>
      </c>
      <c r="B24" s="3" t="str">
        <v>Q/H/22/0023</v>
      </c>
      <c r="C24" s="3" t="str">
        <v>Osman Denizclik</v>
      </c>
      <c r="D24" s="3" t="str">
        <v>Doga K</v>
      </c>
      <c r="E24" s="3">
        <v>9100530</v>
      </c>
      <c r="G24" s="3" t="str">
        <v>Sarnia</v>
      </c>
      <c r="H24" s="3" t="str">
        <v>Samer</v>
      </c>
    </row>
    <row r="25">
      <c r="A25" s="3">
        <v>44848</v>
      </c>
      <c r="B25" s="3" t="str">
        <v>Q/W/22/0024</v>
      </c>
      <c r="C25" s="3" t="str">
        <v>Osman Denizclik</v>
      </c>
      <c r="D25" s="3" t="str">
        <v>Doga K</v>
      </c>
      <c r="E25" s="3">
        <v>9100530</v>
      </c>
      <c r="G25" s="3" t="str">
        <v>Sarnia</v>
      </c>
      <c r="H25" s="3" t="str">
        <v>Samer</v>
      </c>
    </row>
    <row r="26">
      <c r="A26" s="3">
        <v>44851</v>
      </c>
      <c r="B26" s="3" t="str">
        <v>Q/P/22/0025</v>
      </c>
      <c r="C26" s="3" t="str">
        <v>GMZ Ship Management</v>
      </c>
      <c r="D26" s="3" t="str">
        <v>Rina</v>
      </c>
      <c r="E26" s="3">
        <v>8511811</v>
      </c>
      <c r="F26" s="3" t="str">
        <v>GC</v>
      </c>
      <c r="G26" s="3" t="str">
        <v>Shady Saab</v>
      </c>
      <c r="H26" s="3" t="str">
        <v>Samer</v>
      </c>
    </row>
    <row r="27">
      <c r="A27" s="3">
        <v>44851</v>
      </c>
      <c r="B27" s="3" t="str">
        <v>Q/H/22/0026</v>
      </c>
      <c r="C27" s="3" t="str">
        <v>Yamak Agency</v>
      </c>
      <c r="D27" s="3" t="str">
        <v>Mouayad-Y</v>
      </c>
      <c r="E27" s="3">
        <v>9135482</v>
      </c>
      <c r="G27" s="3" t="str">
        <v>Direct</v>
      </c>
      <c r="H27" s="3" t="str">
        <v>Samer</v>
      </c>
    </row>
    <row r="28">
      <c r="A28" s="3">
        <v>44851</v>
      </c>
      <c r="B28" s="3" t="str">
        <v>Q/P/22/0027</v>
      </c>
      <c r="C28" s="3" t="str">
        <v>Yamak Agency</v>
      </c>
      <c r="D28" s="3" t="str">
        <v>Mouayad-Y</v>
      </c>
      <c r="E28" s="3">
        <v>9135482</v>
      </c>
      <c r="G28" s="3" t="str">
        <v>Direct</v>
      </c>
      <c r="H28" s="3" t="str">
        <v>Samer</v>
      </c>
    </row>
    <row r="29">
      <c r="A29" s="3">
        <v>44853</v>
      </c>
      <c r="B29" s="3" t="str">
        <v>Q/H/22/0028</v>
      </c>
      <c r="C29" s="3" t="str">
        <v>Cedar Marine Services</v>
      </c>
      <c r="D29" s="3" t="str">
        <v>Daytona-H</v>
      </c>
      <c r="E29" s="3">
        <v>8520836</v>
      </c>
      <c r="F29" s="3" t="str">
        <v>BC</v>
      </c>
      <c r="G29" s="3" t="str">
        <v>Brandenburg</v>
      </c>
      <c r="H29" s="3" t="str">
        <v>Samer</v>
      </c>
    </row>
    <row r="30">
      <c r="A30" s="3">
        <v>44853</v>
      </c>
      <c r="B30" s="3" t="str">
        <v>Q/W/22/0029</v>
      </c>
      <c r="C30" s="3" t="str">
        <v>Cedar Marine Services</v>
      </c>
      <c r="D30" s="3" t="str">
        <v>Daytona-H</v>
      </c>
      <c r="E30" s="3">
        <v>8520836</v>
      </c>
      <c r="F30" s="3" t="str">
        <v>BC</v>
      </c>
      <c r="G30" s="3" t="str">
        <v>Brandenburg</v>
      </c>
      <c r="H30" s="3" t="str">
        <v>Samer</v>
      </c>
    </row>
    <row r="31">
      <c r="A31" s="3">
        <v>44853</v>
      </c>
      <c r="B31" s="3" t="str">
        <v>Q/H/22/0030</v>
      </c>
      <c r="C31" s="3" t="str">
        <v>Cedar Marine Services</v>
      </c>
      <c r="D31" s="3" t="str">
        <v>Dignity</v>
      </c>
      <c r="E31" s="3">
        <v>9118238</v>
      </c>
      <c r="F31" s="3" t="str">
        <v>BC</v>
      </c>
      <c r="G31" s="3" t="str">
        <v>Brandenburg</v>
      </c>
      <c r="H31" s="3" t="str">
        <v>Samer</v>
      </c>
    </row>
    <row r="32">
      <c r="A32" s="3">
        <v>44853</v>
      </c>
      <c r="B32" s="3" t="str">
        <v>Q/W/22/0031</v>
      </c>
      <c r="C32" s="3" t="str">
        <v>Cedar Marine Services</v>
      </c>
      <c r="D32" s="3" t="str">
        <v>Dignity</v>
      </c>
      <c r="E32" s="3">
        <v>9118238</v>
      </c>
      <c r="F32" s="3" t="str">
        <v>BC</v>
      </c>
      <c r="G32" s="3" t="str">
        <v>Brandenburg</v>
      </c>
      <c r="H32" s="3" t="str">
        <v>Samer</v>
      </c>
    </row>
    <row r="33">
      <c r="A33" s="3">
        <v>44854</v>
      </c>
      <c r="B33" s="3" t="str">
        <v>Q/H/22/0028/R1</v>
      </c>
      <c r="C33" s="3" t="str">
        <v>Cedar Marine Services</v>
      </c>
      <c r="D33" s="3" t="str">
        <v>Daytona-H</v>
      </c>
      <c r="E33" s="3">
        <v>8520836</v>
      </c>
      <c r="F33" s="3" t="str">
        <v>BC</v>
      </c>
      <c r="G33" s="3" t="str">
        <v>Brandenburg</v>
      </c>
      <c r="H33" s="3" t="str">
        <v>Samer</v>
      </c>
    </row>
    <row r="34">
      <c r="A34" s="3">
        <v>44854</v>
      </c>
      <c r="B34" s="3" t="str">
        <v>Q/H/22/0032</v>
      </c>
      <c r="C34" s="3" t="str">
        <v>MN Shipping Inc</v>
      </c>
      <c r="D34" s="3" t="str">
        <v>MN Talos</v>
      </c>
      <c r="E34" s="3">
        <v>9182411</v>
      </c>
      <c r="F34" s="3" t="str">
        <v>GC /CL280</v>
      </c>
      <c r="G34" s="3" t="str">
        <v>MN Shipping /SSS</v>
      </c>
      <c r="H34" s="3" t="str">
        <v>Samer</v>
      </c>
    </row>
    <row r="35">
      <c r="A35" s="3">
        <v>44854</v>
      </c>
      <c r="B35" s="3" t="str">
        <v>Q/W/22/0033</v>
      </c>
      <c r="C35" s="3" t="str">
        <v>MN Shipping Inc</v>
      </c>
      <c r="D35" s="3" t="str">
        <v>MN Talos</v>
      </c>
      <c r="E35" s="3">
        <v>9182411</v>
      </c>
      <c r="F35" s="3" t="str">
        <v>GC</v>
      </c>
      <c r="G35" s="3" t="str">
        <v>MN Shipping /SSS</v>
      </c>
      <c r="H35" s="3" t="str">
        <v>Samer</v>
      </c>
    </row>
    <row r="36">
      <c r="A36" s="3">
        <v>44858</v>
      </c>
      <c r="B36" s="3" t="str">
        <v>Q/V/22/0034</v>
      </c>
      <c r="C36" s="3" t="str">
        <v>Eagle Petroleum</v>
      </c>
      <c r="D36" s="3" t="str">
        <v>Lewek Antares</v>
      </c>
      <c r="E36" s="3">
        <v>9413200</v>
      </c>
      <c r="F36" s="3" t="str">
        <v>Support /VCL286/H280/IV290</v>
      </c>
      <c r="G36" s="3" t="str">
        <v>Fairwater</v>
      </c>
      <c r="H36" s="3" t="str">
        <v>Samer</v>
      </c>
    </row>
    <row r="37">
      <c r="A37" s="3">
        <v>44858</v>
      </c>
      <c r="B37" s="3" t="str">
        <v>Q/P/22/0035</v>
      </c>
      <c r="C37" s="3" t="str">
        <v>Romarine</v>
      </c>
      <c r="D37" s="3" t="str">
        <v>Sara S/NKK 1</v>
      </c>
      <c r="E37" s="3" t="str">
        <v>7721964/8902929</v>
      </c>
      <c r="F37" s="3" t="str">
        <v>GC/BC</v>
      </c>
      <c r="G37" s="3" t="str">
        <v>Direct</v>
      </c>
      <c r="H37" s="3" t="str">
        <v>Samer</v>
      </c>
    </row>
    <row r="38">
      <c r="A38" s="3">
        <v>44861</v>
      </c>
      <c r="B38" s="3" t="str">
        <v>Q/P/22/0036</v>
      </c>
      <c r="C38" s="3" t="str">
        <v>Mina Group</v>
      </c>
      <c r="D38" s="3" t="str">
        <v>Barhom</v>
      </c>
      <c r="E38" s="3">
        <v>7614848</v>
      </c>
      <c r="F38" s="3" t="str">
        <v>MLV</v>
      </c>
      <c r="G38" s="3" t="str">
        <v>Direct</v>
      </c>
      <c r="H38" s="3" t="str">
        <v>Samer</v>
      </c>
    </row>
    <row r="39">
      <c r="A39" s="3">
        <v>44862</v>
      </c>
      <c r="B39" s="3" t="str">
        <v>Q/H/22/0037</v>
      </c>
      <c r="C39" s="3" t="str">
        <v>MGM Marine Shipping</v>
      </c>
      <c r="D39" s="3" t="str">
        <v>Beata</v>
      </c>
      <c r="E39" s="3">
        <v>9037276</v>
      </c>
      <c r="F39" s="3" t="str">
        <v>GC</v>
      </c>
      <c r="G39" s="3" t="str">
        <v>Fairwater</v>
      </c>
      <c r="H39" s="3" t="str">
        <v>Samer</v>
      </c>
    </row>
    <row r="40">
      <c r="A40" s="3">
        <v>44862</v>
      </c>
      <c r="B40" s="3" t="str">
        <v>Q/H/22/0038/R1</v>
      </c>
      <c r="C40" s="3" t="str">
        <v>Safe Sea Services</v>
      </c>
      <c r="D40" s="3" t="str">
        <v>Franklin 1</v>
      </c>
      <c r="E40" s="3">
        <v>8358128</v>
      </c>
      <c r="F40" s="3" t="str">
        <v>O/T</v>
      </c>
      <c r="G40" s="3" t="str">
        <v>SSS</v>
      </c>
      <c r="H40" s="3" t="str">
        <v>Samer</v>
      </c>
    </row>
    <row r="41">
      <c r="A41" s="3">
        <v>44865</v>
      </c>
      <c r="B41" s="3" t="str">
        <v>Q/H/22/0039</v>
      </c>
      <c r="C41" s="3" t="str">
        <v>Oceandro</v>
      </c>
      <c r="D41" s="3" t="str">
        <v>Oceandro 4</v>
      </c>
      <c r="E41" s="3" t="str">
        <v>-</v>
      </c>
      <c r="F41" s="3" t="str">
        <v>Tug</v>
      </c>
      <c r="G41" s="3" t="str">
        <v>Rafic Rashad</v>
      </c>
      <c r="H41" s="3" t="str">
        <v>Samer</v>
      </c>
    </row>
    <row r="42">
      <c r="A42" s="3">
        <v>44865</v>
      </c>
      <c r="B42" s="3" t="str">
        <v>Q/P/22/0040</v>
      </c>
      <c r="C42" s="3" t="str">
        <v>Oceandro</v>
      </c>
      <c r="D42" s="3" t="str">
        <v>Oceandro 4</v>
      </c>
      <c r="E42" s="3" t="str">
        <v>-</v>
      </c>
      <c r="F42" s="3" t="str">
        <v>Tug</v>
      </c>
      <c r="G42" s="3" t="str">
        <v>Rafic Rashad</v>
      </c>
      <c r="H42" s="3" t="str">
        <v>Samer</v>
      </c>
    </row>
    <row r="43">
      <c r="A43" s="3">
        <v>44865</v>
      </c>
      <c r="B43" s="3" t="str">
        <v>Q/W/22/0041</v>
      </c>
      <c r="C43" s="3" t="str">
        <v>Oceandro</v>
      </c>
      <c r="D43" s="3" t="str">
        <v>Oceandro 4</v>
      </c>
      <c r="E43" s="3" t="str">
        <v>-</v>
      </c>
      <c r="F43" s="3" t="str">
        <v>Tug</v>
      </c>
      <c r="G43" s="3" t="str">
        <v>Rafic Rashad</v>
      </c>
      <c r="H43" s="3" t="str">
        <v>Samer</v>
      </c>
    </row>
    <row r="44">
      <c r="A44" s="3">
        <v>44865</v>
      </c>
      <c r="B44" s="3" t="str">
        <v>Q/H/22/0042</v>
      </c>
      <c r="C44" s="3" t="str">
        <v>Sung Marine Ltd</v>
      </c>
      <c r="D44" s="3" t="str">
        <v>AT 27</v>
      </c>
      <c r="E44" s="3">
        <v>9136539</v>
      </c>
      <c r="F44" s="3" t="str">
        <v>BC</v>
      </c>
      <c r="G44" s="3" t="str">
        <v>Brandenburg</v>
      </c>
      <c r="H44" s="3" t="str">
        <v>Samer</v>
      </c>
    </row>
    <row r="45">
      <c r="A45" s="3">
        <v>44866</v>
      </c>
      <c r="B45" s="3" t="str">
        <v>Q/H/22/0043</v>
      </c>
      <c r="C45" s="3" t="str">
        <v>Elbeco SAL</v>
      </c>
      <c r="D45" s="3" t="str">
        <v>Norland</v>
      </c>
      <c r="E45" s="3">
        <v>7529940</v>
      </c>
      <c r="F45" s="3" t="str">
        <v>MLV</v>
      </c>
      <c r="G45" s="3" t="str">
        <v>Direct</v>
      </c>
      <c r="H45" s="3" t="str">
        <v>Samer</v>
      </c>
    </row>
    <row r="46">
      <c r="A46" s="3">
        <v>44866</v>
      </c>
      <c r="B46" s="3" t="str">
        <v>Q/P/22/0044</v>
      </c>
      <c r="C46" s="3" t="str">
        <v>Elbeco SAL</v>
      </c>
      <c r="D46" s="3" t="str">
        <v>Norland</v>
      </c>
      <c r="E46" s="3">
        <v>7529940</v>
      </c>
      <c r="F46" s="3" t="str">
        <v>MLV</v>
      </c>
      <c r="G46" s="3" t="str">
        <v>Direct</v>
      </c>
      <c r="H46" s="3" t="str">
        <v>Samer</v>
      </c>
    </row>
    <row r="47">
      <c r="A47" s="3">
        <v>44866</v>
      </c>
      <c r="B47" s="3" t="str">
        <v>Q/W/22/0045</v>
      </c>
      <c r="C47" s="3" t="str">
        <v>Elbeco SAL</v>
      </c>
      <c r="D47" s="3" t="str">
        <v>Norland</v>
      </c>
      <c r="E47" s="3">
        <v>7529940</v>
      </c>
      <c r="F47" s="3" t="str">
        <v>MLV</v>
      </c>
      <c r="G47" s="3" t="str">
        <v>Direct</v>
      </c>
      <c r="H47" s="3" t="str">
        <v>Samer</v>
      </c>
    </row>
    <row r="48">
      <c r="A48" s="3">
        <v>44869</v>
      </c>
      <c r="B48" s="3" t="str">
        <v>Q/H/22/0046</v>
      </c>
      <c r="C48" s="3" t="str">
        <v>Darya Shipping Pvt. Ltd</v>
      </c>
      <c r="D48" s="3" t="str">
        <v>Ramya</v>
      </c>
      <c r="E48" s="3">
        <v>9363182</v>
      </c>
      <c r="F48" s="3" t="str">
        <v>O/T</v>
      </c>
      <c r="G48" s="3" t="str">
        <v>NewBerry</v>
      </c>
      <c r="H48" s="3" t="str">
        <v>Samer</v>
      </c>
    </row>
    <row r="49">
      <c r="A49" s="3">
        <v>44869</v>
      </c>
      <c r="B49" s="3" t="str">
        <v>Q/V/22/0047</v>
      </c>
      <c r="C49" s="3" t="str">
        <v>TBA</v>
      </c>
      <c r="D49" s="3" t="str">
        <v>Tiger 55</v>
      </c>
      <c r="F49" s="3" t="str">
        <v>Tug</v>
      </c>
      <c r="G49" s="3" t="str">
        <v>IPIC</v>
      </c>
      <c r="H49" s="3" t="str">
        <v>Samer</v>
      </c>
    </row>
    <row r="50">
      <c r="A50" s="3">
        <v>44874</v>
      </c>
      <c r="B50" s="3" t="str">
        <v>Q/V/22/0048</v>
      </c>
      <c r="C50" s="3" t="str">
        <v>TBA</v>
      </c>
      <c r="D50" s="3" t="str">
        <v>Capella</v>
      </c>
      <c r="F50" s="3" t="str">
        <v>Tug</v>
      </c>
      <c r="G50" s="3" t="str">
        <v>IPIC</v>
      </c>
      <c r="H50" s="3" t="str">
        <v>Samer</v>
      </c>
    </row>
    <row r="51">
      <c r="A51" s="3">
        <v>44875</v>
      </c>
      <c r="B51" s="3" t="str">
        <v>Q/V/22/0049</v>
      </c>
      <c r="C51" s="3" t="str">
        <v>TBA</v>
      </c>
      <c r="D51" s="3" t="str">
        <v>Kisel</v>
      </c>
      <c r="F51" s="3" t="str">
        <v>Dredger</v>
      </c>
      <c r="G51" s="3" t="str">
        <v>Fairwater</v>
      </c>
      <c r="H51" s="3" t="str">
        <v>Samer</v>
      </c>
    </row>
    <row r="52">
      <c r="A52" s="3">
        <v>44875</v>
      </c>
      <c r="B52" s="3" t="str">
        <v>Q/H/22/0050</v>
      </c>
      <c r="C52" s="3" t="str">
        <v>Ocmis Maritime</v>
      </c>
      <c r="F52" s="3" t="str">
        <v>GC</v>
      </c>
      <c r="G52" s="3" t="str">
        <v>Mesco</v>
      </c>
      <c r="H52" s="3" t="str">
        <v>Samer</v>
      </c>
    </row>
    <row r="53">
      <c r="A53" s="3">
        <v>44876</v>
      </c>
      <c r="B53" s="3" t="str">
        <v>Q/H/22/0051</v>
      </c>
      <c r="C53" s="3" t="str">
        <v>Rederi VadroTank</v>
      </c>
      <c r="F53" s="3" t="str">
        <v>Tanker</v>
      </c>
      <c r="G53" s="3" t="str">
        <v>IPIC</v>
      </c>
      <c r="H53" s="3" t="str">
        <v>Samer</v>
      </c>
    </row>
    <row r="54">
      <c r="A54" s="3">
        <v>44882</v>
      </c>
      <c r="B54" s="3" t="str">
        <v>Q/V/22/0052</v>
      </c>
      <c r="D54" s="3" t="str">
        <v>Haven Seariser 3</v>
      </c>
      <c r="F54" s="3" t="str">
        <v>Jack-Up</v>
      </c>
      <c r="G54" s="3" t="str">
        <v>Kominsur</v>
      </c>
      <c r="H54" s="3" t="str">
        <v>Samer</v>
      </c>
    </row>
    <row r="55">
      <c r="A55" s="3">
        <v>44882</v>
      </c>
      <c r="B55" s="3" t="str">
        <v>Q/H/22/0053</v>
      </c>
      <c r="C55" s="3" t="str">
        <v>Seamasters International S.A.</v>
      </c>
      <c r="D55" s="3" t="str">
        <v>Majestic Noor</v>
      </c>
      <c r="E55" s="3">
        <v>9138642</v>
      </c>
      <c r="F55" s="3" t="str">
        <v>BC</v>
      </c>
      <c r="G55" s="3" t="str">
        <v>Sarnia</v>
      </c>
      <c r="H55" s="3" t="str">
        <v>Samer</v>
      </c>
    </row>
    <row r="56">
      <c r="A56" s="3">
        <v>44882</v>
      </c>
      <c r="B56" s="3" t="str">
        <v>Q/W/22/0054</v>
      </c>
      <c r="C56" s="3" t="str">
        <v>Seamasters International S.A.</v>
      </c>
      <c r="D56" s="3" t="str">
        <v>Majestic Noor</v>
      </c>
      <c r="E56" s="3">
        <v>9138642</v>
      </c>
      <c r="F56" s="3" t="str">
        <v>BC</v>
      </c>
      <c r="G56" s="3" t="str">
        <v>Sarnia</v>
      </c>
      <c r="H56" s="3" t="str">
        <v>Samer</v>
      </c>
    </row>
    <row r="57">
      <c r="A57" s="3">
        <v>44883</v>
      </c>
      <c r="B57" s="3" t="str">
        <v>Q/H/22/0055</v>
      </c>
      <c r="C57" s="3" t="str">
        <v>Mykonos Lines</v>
      </c>
      <c r="D57" s="3" t="str">
        <v>Mykonos I &amp; II</v>
      </c>
      <c r="F57" s="3" t="str">
        <v>GC</v>
      </c>
      <c r="G57" s="3" t="str">
        <v>Velos</v>
      </c>
      <c r="H57" s="3" t="str">
        <v>Samer</v>
      </c>
    </row>
    <row r="58">
      <c r="A58" s="3">
        <v>44885</v>
      </c>
      <c r="B58" s="3" t="str">
        <v>Q/H/22/0056</v>
      </c>
      <c r="D58" s="3" t="str">
        <v>B Eva</v>
      </c>
      <c r="E58" s="3">
        <v>9256028</v>
      </c>
      <c r="F58" s="3" t="str">
        <v>O/T</v>
      </c>
      <c r="G58" s="3" t="str">
        <v>IPIC</v>
      </c>
      <c r="H58" s="3" t="str">
        <v>Samer</v>
      </c>
    </row>
    <row r="59">
      <c r="A59" s="3">
        <v>44888</v>
      </c>
      <c r="B59" s="3" t="str">
        <v>Q/V/22/0057</v>
      </c>
      <c r="C59" s="3" t="str">
        <v>Bernard Gerdy</v>
      </c>
      <c r="D59" s="3" t="str">
        <v>DPS Tramontane</v>
      </c>
      <c r="E59" s="3">
        <v>7521778</v>
      </c>
      <c r="F59" s="3" t="str">
        <v>Tug</v>
      </c>
      <c r="G59" s="3" t="str">
        <v>ASM</v>
      </c>
      <c r="H59" s="3" t="str">
        <v>Samer</v>
      </c>
    </row>
    <row r="60">
      <c r="A60" s="3">
        <v>44888</v>
      </c>
      <c r="B60" s="3" t="str">
        <v>Q/H/22/0058</v>
      </c>
      <c r="C60" s="3" t="str">
        <v>AJ Maritime Corp</v>
      </c>
      <c r="D60" s="3" t="str">
        <v>Ever Step</v>
      </c>
      <c r="E60" s="3">
        <v>8919960</v>
      </c>
      <c r="F60" s="3" t="str">
        <v>GC</v>
      </c>
      <c r="G60" s="3" t="str">
        <v>Sarnia</v>
      </c>
      <c r="H60" s="3" t="str">
        <v>Samer</v>
      </c>
    </row>
    <row r="61">
      <c r="A61" s="3">
        <v>44888</v>
      </c>
      <c r="B61" s="3" t="str">
        <v>Q/W/22/0059</v>
      </c>
      <c r="C61" s="3" t="str">
        <v>AJ Maritime Corp</v>
      </c>
      <c r="D61" s="3" t="str">
        <v>Ever Step</v>
      </c>
      <c r="E61" s="3">
        <v>8919960</v>
      </c>
      <c r="F61" s="3" t="str">
        <v>GC</v>
      </c>
      <c r="G61" s="3" t="str">
        <v>Sarnia</v>
      </c>
      <c r="H61" s="3" t="str">
        <v>Samer</v>
      </c>
    </row>
    <row r="62">
      <c r="A62" s="3">
        <v>44890</v>
      </c>
      <c r="B62" s="3" t="str">
        <v>Q/H/22/0060</v>
      </c>
      <c r="C62" s="3" t="str">
        <v xml:space="preserve">Seamiles Marine And Offshore Management </v>
      </c>
      <c r="D62" s="3" t="str">
        <v>Ocean 303</v>
      </c>
      <c r="E62" s="3">
        <v>8766375</v>
      </c>
      <c r="F62" s="3" t="str">
        <v>Barge</v>
      </c>
      <c r="G62" s="3" t="str">
        <v>City</v>
      </c>
      <c r="H62" s="3" t="str">
        <v>Samer</v>
      </c>
    </row>
    <row r="63">
      <c r="A63" s="3">
        <v>44890</v>
      </c>
      <c r="B63" s="3" t="str">
        <v>Q/H/22/0061</v>
      </c>
      <c r="C63" s="3" t="str">
        <v>MJN Marine</v>
      </c>
      <c r="D63" s="3" t="str">
        <v>Gloria M - Fanaria</v>
      </c>
      <c r="F63" s="3" t="str">
        <v>BC</v>
      </c>
      <c r="G63" s="3" t="str">
        <v>Sarnia</v>
      </c>
      <c r="H63" s="3" t="str">
        <v>Samer</v>
      </c>
    </row>
    <row r="64">
      <c r="A64" s="3">
        <v>44894</v>
      </c>
      <c r="B64" s="3" t="str">
        <v>Q/W/22/0062</v>
      </c>
      <c r="C64" s="3" t="str">
        <v>Surfina Maritime OU</v>
      </c>
      <c r="D64" s="3" t="str">
        <v>Titan</v>
      </c>
      <c r="E64" s="3">
        <v>9126998</v>
      </c>
      <c r="F64" s="3" t="str">
        <v>Container</v>
      </c>
      <c r="G64" s="3" t="str">
        <v>Kominsur</v>
      </c>
      <c r="H64" s="3" t="str">
        <v>Samer</v>
      </c>
    </row>
    <row r="65">
      <c r="A65" s="3">
        <v>44897</v>
      </c>
      <c r="B65" s="3" t="str">
        <v>Q/H/22/0063</v>
      </c>
      <c r="D65" s="3" t="str">
        <v>Vestanvik</v>
      </c>
      <c r="E65" s="3">
        <v>6600618</v>
      </c>
      <c r="F65" s="3" t="str">
        <v>Cement Carrier</v>
      </c>
      <c r="G65" s="3" t="str">
        <v>Mesco</v>
      </c>
      <c r="H65" s="3" t="str">
        <v>Samer</v>
      </c>
    </row>
    <row r="66">
      <c r="B66" s="3" t="str">
        <v>Q/H/22/0064</v>
      </c>
      <c r="C66" s="3" t="str">
        <v>Coral Technical Services</v>
      </c>
      <c r="D66" s="3" t="str">
        <v>Bashar One Transport</v>
      </c>
      <c r="E66" s="3">
        <v>8506361</v>
      </c>
      <c r="F66" s="3" t="str">
        <v>MLV</v>
      </c>
      <c r="G66" s="3" t="str">
        <v>Direct</v>
      </c>
      <c r="H66" s="3" t="str">
        <v>Samer</v>
      </c>
    </row>
    <row r="67">
      <c r="B67" s="3" t="str">
        <v>Q/P/22/0065</v>
      </c>
      <c r="C67" s="3" t="str">
        <v>Coral Technical Services</v>
      </c>
      <c r="D67" s="3" t="str">
        <v>Bashar One Transport</v>
      </c>
      <c r="E67" s="3">
        <v>8506361</v>
      </c>
      <c r="F67" s="3" t="str">
        <v>MLV</v>
      </c>
      <c r="G67" s="3" t="str">
        <v>Direct</v>
      </c>
      <c r="H67" s="3" t="str">
        <v>Samer</v>
      </c>
    </row>
    <row r="68">
      <c r="B68" s="3" t="str">
        <v>Q/H/22/0066</v>
      </c>
      <c r="C68" s="3" t="str">
        <v>Princess Hiyam Shipping S.A.</v>
      </c>
      <c r="D68" s="3" t="str">
        <v>Princess Hiyam</v>
      </c>
      <c r="E68" s="3">
        <v>7405089</v>
      </c>
      <c r="F68" s="3" t="str">
        <v>MLV</v>
      </c>
      <c r="G68" s="3" t="str">
        <v>Sarnia</v>
      </c>
      <c r="H68" s="3" t="str">
        <v>Samer</v>
      </c>
    </row>
    <row r="69">
      <c r="A69" s="3">
        <v>44902</v>
      </c>
      <c r="B69" s="3" t="str">
        <v>Q/P/22/0067</v>
      </c>
      <c r="C69" s="3" t="str">
        <v>Power Full Marine</v>
      </c>
      <c r="D69" s="3" t="str">
        <v>Wael K/MKK1/Annabella</v>
      </c>
      <c r="F69" s="3" t="str">
        <v>GC/BC</v>
      </c>
      <c r="G69" s="3" t="str">
        <v>Direct</v>
      </c>
      <c r="H69" s="3" t="str">
        <v>Samer</v>
      </c>
    </row>
    <row r="70">
      <c r="A70" s="3">
        <v>44902</v>
      </c>
      <c r="B70" s="3" t="str">
        <v>Q/H/22/0068</v>
      </c>
      <c r="C70" s="3" t="str">
        <v>Zamzam Marine</v>
      </c>
      <c r="D70" s="3" t="str">
        <v>Zamzam A</v>
      </c>
      <c r="E70" s="3">
        <v>8509844</v>
      </c>
      <c r="F70" s="3" t="str">
        <v>GC</v>
      </c>
      <c r="G70" s="3" t="str">
        <v>Brandenburg</v>
      </c>
      <c r="H70" s="3" t="str">
        <v>Samer</v>
      </c>
    </row>
    <row r="71">
      <c r="A71" s="3">
        <v>44902</v>
      </c>
      <c r="B71" s="3" t="str">
        <v>Q/H/22/0069</v>
      </c>
      <c r="C71" s="3" t="str">
        <v>Riverine Ship Management</v>
      </c>
      <c r="D71" s="3" t="str">
        <v>Ocean Glory</v>
      </c>
      <c r="E71" s="3">
        <v>9291303</v>
      </c>
      <c r="F71" s="3" t="str">
        <v>GC</v>
      </c>
      <c r="G71" s="3" t="str">
        <v>City</v>
      </c>
      <c r="H71" s="3" t="str">
        <v>Samer</v>
      </c>
    </row>
    <row r="72">
      <c r="A72" s="3">
        <v>44902</v>
      </c>
      <c r="B72" s="3" t="str">
        <v>Q/H/22/0070</v>
      </c>
      <c r="C72" s="3" t="str">
        <v>VR Marine</v>
      </c>
      <c r="D72" s="3" t="str">
        <v>SPM Agility</v>
      </c>
      <c r="E72" s="3">
        <v>9145425</v>
      </c>
      <c r="F72" s="3" t="str">
        <v>O/T</v>
      </c>
      <c r="G72" s="3" t="str">
        <v>CR</v>
      </c>
      <c r="H72" s="3" t="str">
        <v>Samer</v>
      </c>
    </row>
    <row r="73">
      <c r="A73" s="3">
        <v>44903</v>
      </c>
      <c r="B73" s="3" t="str">
        <v>Q/H/22/0071</v>
      </c>
      <c r="C73" s="3" t="str">
        <v>Trans Gulf Agency LLC</v>
      </c>
      <c r="D73" s="3" t="str">
        <v>Tenerife 10/11</v>
      </c>
      <c r="F73" s="3" t="str">
        <v>Tug</v>
      </c>
      <c r="G73" s="3" t="str">
        <v>Brandenburg</v>
      </c>
      <c r="H73" s="3" t="str">
        <v>Samer</v>
      </c>
    </row>
    <row r="74">
      <c r="A74" s="3">
        <v>44904</v>
      </c>
      <c r="B74" s="3" t="str">
        <v>Q/H/22/0072</v>
      </c>
      <c r="C74" s="3" t="str">
        <v>ALS Marine</v>
      </c>
      <c r="D74" s="3" t="str">
        <v>Santina</v>
      </c>
      <c r="E74" s="3">
        <v>9203162</v>
      </c>
      <c r="F74" s="3" t="str">
        <v>Fishing Vessel</v>
      </c>
      <c r="G74" s="3" t="str">
        <v>Velos</v>
      </c>
      <c r="H74" s="3" t="str">
        <v>Samer</v>
      </c>
    </row>
    <row r="75">
      <c r="A75" s="3">
        <v>44908</v>
      </c>
      <c r="B75" s="3" t="str">
        <v>Q/H/22/0073</v>
      </c>
      <c r="C75" s="3" t="str">
        <v>Mina Group</v>
      </c>
      <c r="D75" s="3" t="str">
        <v>Helen</v>
      </c>
      <c r="E75" s="3">
        <v>7614848</v>
      </c>
      <c r="F75" s="3" t="str">
        <v>MLV</v>
      </c>
      <c r="G75" s="3" t="str">
        <v>Direct</v>
      </c>
      <c r="H75" s="3" t="str">
        <v>Samer</v>
      </c>
    </row>
    <row r="76">
      <c r="A76" s="3">
        <v>44908</v>
      </c>
      <c r="B76" s="3" t="str">
        <v>Q/P/22/0074</v>
      </c>
      <c r="C76" s="3" t="str">
        <v>Mina Group</v>
      </c>
      <c r="D76" s="3" t="str">
        <v>Maysa</v>
      </c>
      <c r="E76" s="3">
        <v>6829082</v>
      </c>
      <c r="F76" s="3" t="str">
        <v>MLV</v>
      </c>
      <c r="G76" s="3" t="str">
        <v>Direct</v>
      </c>
      <c r="H76" s="3" t="str">
        <v>Samer</v>
      </c>
    </row>
    <row r="77">
      <c r="A77" s="3">
        <v>44908</v>
      </c>
      <c r="B77" s="3" t="str">
        <v>Q/H/22/0075</v>
      </c>
      <c r="C77" s="3" t="str">
        <v>-</v>
      </c>
      <c r="D77" s="3" t="str">
        <v>Hud Hud</v>
      </c>
      <c r="E77" s="3" t="str">
        <v>-</v>
      </c>
      <c r="F77" s="3" t="str">
        <v>Service Boat</v>
      </c>
      <c r="G77" s="3" t="str">
        <v>IPIC</v>
      </c>
      <c r="H77" s="3" t="str">
        <v>Samer</v>
      </c>
    </row>
    <row r="78">
      <c r="A78" s="3">
        <v>44908</v>
      </c>
      <c r="B78" s="3" t="str">
        <v>Q/V/22/0076</v>
      </c>
      <c r="C78" s="3" t="str">
        <v>Excel International</v>
      </c>
      <c r="D78" s="3" t="str">
        <v>Latte/Aladin</v>
      </c>
      <c r="F78" s="3" t="str">
        <v>GC</v>
      </c>
      <c r="G78" s="3" t="str">
        <v>City</v>
      </c>
      <c r="H78" s="3" t="str">
        <v>Samer</v>
      </c>
    </row>
    <row r="79">
      <c r="A79" s="3">
        <v>44909</v>
      </c>
      <c r="B79" s="3" t="str">
        <v>Q/H/22/0077</v>
      </c>
      <c r="C79" s="3" t="str">
        <v>Karazi</v>
      </c>
      <c r="F79" s="3" t="str">
        <v>MLV</v>
      </c>
      <c r="G79" s="3" t="str">
        <v>Direct</v>
      </c>
      <c r="H79" s="3" t="str">
        <v>Samer</v>
      </c>
    </row>
    <row r="80">
      <c r="A80" s="3">
        <v>44909</v>
      </c>
      <c r="B80" s="3" t="str">
        <v>Q/P/22/0078</v>
      </c>
      <c r="C80" s="3" t="str">
        <v>Karazi</v>
      </c>
      <c r="F80" s="3" t="str">
        <v>MLV</v>
      </c>
      <c r="G80" s="3" t="str">
        <v>Direct</v>
      </c>
      <c r="H80" s="3" t="str">
        <v>Samer</v>
      </c>
    </row>
    <row r="81">
      <c r="A81" s="3">
        <v>44909</v>
      </c>
      <c r="B81" s="3" t="str">
        <v>Q/V/22/0079</v>
      </c>
      <c r="D81" s="3" t="str">
        <v>Yeoman</v>
      </c>
      <c r="F81" s="3" t="str">
        <v>Tug</v>
      </c>
      <c r="G81" s="3" t="str">
        <v>Kominsur</v>
      </c>
      <c r="H81" s="3" t="str">
        <v>Samer</v>
      </c>
    </row>
    <row r="82">
      <c r="A82" s="3">
        <v>44911</v>
      </c>
      <c r="B82" s="3" t="str">
        <v>Q/H/22/0080</v>
      </c>
      <c r="C82" s="3" t="str">
        <v>Al Sulaiti</v>
      </c>
      <c r="D82" s="3" t="str">
        <v>Offshore A</v>
      </c>
      <c r="E82" s="3" t="str">
        <v>-</v>
      </c>
      <c r="F82" s="3" t="str">
        <v>Barge</v>
      </c>
      <c r="G82" s="3" t="str">
        <v>Fairwater</v>
      </c>
      <c r="H82" s="3" t="str">
        <v>Samer</v>
      </c>
    </row>
    <row r="83">
      <c r="A83" s="3">
        <v>44911</v>
      </c>
      <c r="B83" s="3" t="str">
        <v>Q/P/22/0081</v>
      </c>
      <c r="C83" s="3" t="str">
        <v>Sia Bureau Ship Service</v>
      </c>
      <c r="D83" s="3" t="str">
        <v>Baltic Dredger</v>
      </c>
      <c r="E83" s="3">
        <v>8639510</v>
      </c>
      <c r="F83" s="3" t="str">
        <v>Dredger</v>
      </c>
      <c r="G83" s="3" t="str">
        <v>Kominsur</v>
      </c>
      <c r="H83" s="3" t="str">
        <v>Samer</v>
      </c>
    </row>
    <row r="84">
      <c r="A84" s="3">
        <v>44914</v>
      </c>
      <c r="B84" s="3" t="str">
        <v>Q/H/22/0082</v>
      </c>
      <c r="C84" s="3" t="str">
        <v>T-Shipping Ltd</v>
      </c>
      <c r="D84" s="3" t="str">
        <v>Ah Era</v>
      </c>
      <c r="E84" s="3">
        <v>9159581</v>
      </c>
      <c r="F84" s="3" t="str">
        <v>GC</v>
      </c>
      <c r="G84" s="3" t="str">
        <v>IPIC</v>
      </c>
      <c r="H84" s="3" t="str">
        <v>Samer</v>
      </c>
    </row>
    <row r="85">
      <c r="A85" s="3">
        <v>44914</v>
      </c>
      <c r="B85" s="3" t="str">
        <v>Q/H/22/0083</v>
      </c>
      <c r="C85" s="3" t="str">
        <v>T-Shipping Ltd</v>
      </c>
      <c r="D85" s="3" t="str">
        <v>Brawlstars</v>
      </c>
      <c r="E85" s="3">
        <v>8110992</v>
      </c>
      <c r="F85" s="3" t="str">
        <v>Supply Vessel</v>
      </c>
      <c r="G85" s="3" t="str">
        <v>Direct</v>
      </c>
      <c r="H85" s="3" t="str">
        <v>Samer</v>
      </c>
    </row>
    <row r="86">
      <c r="A86" s="3">
        <v>44916</v>
      </c>
      <c r="B86" s="3" t="str">
        <v>Q/H/22/0084</v>
      </c>
      <c r="C86" s="3" t="str">
        <v>Fleetmed Off Shore 100%</v>
      </c>
      <c r="D86" s="3" t="str">
        <v>Nina M</v>
      </c>
      <c r="E86" s="3">
        <v>8810786</v>
      </c>
      <c r="F86" s="3" t="str">
        <v>GC</v>
      </c>
      <c r="G86" s="3" t="str">
        <v>Direct</v>
      </c>
      <c r="H86" s="3" t="str">
        <v>Samer</v>
      </c>
    </row>
    <row r="87">
      <c r="A87" s="3">
        <v>44916</v>
      </c>
      <c r="B87" s="3" t="str">
        <v>Q/P/22/0085</v>
      </c>
      <c r="C87" s="3" t="str">
        <v>Fleetmed Off Shore 100%</v>
      </c>
      <c r="D87" s="3" t="str">
        <v>Nina M</v>
      </c>
      <c r="E87" s="3">
        <v>8810786</v>
      </c>
      <c r="F87" s="3" t="str">
        <v>GC</v>
      </c>
      <c r="G87" s="3" t="str">
        <v>Direct</v>
      </c>
      <c r="H87" s="3" t="str">
        <v>Samer</v>
      </c>
    </row>
    <row r="88">
      <c r="A88" s="3">
        <v>44916</v>
      </c>
      <c r="B88" s="3" t="str">
        <v>Q/P/22/0086</v>
      </c>
      <c r="C88" s="3" t="str">
        <v>Bernard Shipping LLC</v>
      </c>
      <c r="D88" s="3" t="str">
        <v>Hamid S</v>
      </c>
      <c r="E88" s="3">
        <v>8914099</v>
      </c>
      <c r="F88" s="3" t="str">
        <v>GC</v>
      </c>
      <c r="G88" s="3" t="str">
        <v>Direct</v>
      </c>
      <c r="H88" s="3" t="str">
        <v>Samer</v>
      </c>
    </row>
    <row r="89">
      <c r="A89" s="3">
        <v>44918</v>
      </c>
      <c r="B89" s="3" t="str">
        <v>Q/N/H/22/0087</v>
      </c>
      <c r="C89" s="3" t="str">
        <v>Baron Shipping Inc</v>
      </c>
      <c r="D89" s="3" t="str">
        <v>Maxim 1</v>
      </c>
      <c r="E89" s="3" t="str">
        <v>-</v>
      </c>
      <c r="F89" s="3" t="str">
        <v>Crew Boat</v>
      </c>
      <c r="G89" s="3" t="str">
        <v>City</v>
      </c>
      <c r="H89" s="3" t="str">
        <v>Samer</v>
      </c>
    </row>
    <row r="90">
      <c r="A90" s="3">
        <v>44918</v>
      </c>
      <c r="B90" s="3" t="str">
        <v>Q/N/H/22/0088</v>
      </c>
      <c r="C90" s="3" t="str">
        <v>Baron Shipping Inc</v>
      </c>
      <c r="D90" s="3" t="str">
        <v>Maxim 1</v>
      </c>
      <c r="E90" s="3" t="str">
        <v>-</v>
      </c>
      <c r="F90" s="3" t="str">
        <v>Crew Boat</v>
      </c>
      <c r="G90" s="3" t="str">
        <v>City</v>
      </c>
      <c r="H90" s="3" t="str">
        <v>Samer</v>
      </c>
    </row>
    <row r="91">
      <c r="A91" s="3">
        <v>44922</v>
      </c>
      <c r="B91" s="3" t="str">
        <v>Q/N/H/22/0089</v>
      </c>
      <c r="C91" s="3" t="str">
        <v>Sea Horizon Offshore Marine Services</v>
      </c>
      <c r="D91" s="3" t="str">
        <v>DMS Challenger TBR</v>
      </c>
      <c r="E91" s="3">
        <v>9309722</v>
      </c>
      <c r="F91" s="3" t="str">
        <v>MPSV</v>
      </c>
      <c r="G91" s="3" t="str">
        <v>City</v>
      </c>
      <c r="H91" s="3" t="str">
        <v>Samer</v>
      </c>
    </row>
    <row r="92">
      <c r="A92" s="3">
        <v>44924</v>
      </c>
      <c r="B92" s="3" t="str">
        <v>Q/R/H/22/0090</v>
      </c>
      <c r="C92" s="3" t="str">
        <v>Thor Shipping &amp; Trading Ltd</v>
      </c>
      <c r="D92" s="3" t="str">
        <v>Super Sarkas</v>
      </c>
      <c r="E92" s="3">
        <v>9221633</v>
      </c>
      <c r="F92" s="3" t="str">
        <v>BC</v>
      </c>
      <c r="G92" s="3" t="str">
        <v>Direct</v>
      </c>
      <c r="H92" s="3" t="str">
        <v>Samer</v>
      </c>
    </row>
    <row r="93">
      <c r="A93" s="3">
        <v>44924</v>
      </c>
      <c r="B93" s="3" t="str">
        <v>Q/R/H/22/0091</v>
      </c>
      <c r="C93" s="3" t="str">
        <v>Delphina Shiptrade S.A.</v>
      </c>
      <c r="D93" s="3" t="str">
        <v>Taha-Y</v>
      </c>
      <c r="E93" s="3">
        <v>8307947</v>
      </c>
      <c r="F93" s="3" t="str">
        <v>GC</v>
      </c>
      <c r="G93" s="3" t="str">
        <v>Direct</v>
      </c>
      <c r="H93" s="3" t="str">
        <v>Samer</v>
      </c>
    </row>
    <row r="94">
      <c r="A94" s="3">
        <v>44924</v>
      </c>
      <c r="B94" s="3" t="str">
        <v>Q/N/P/22/0092</v>
      </c>
      <c r="C94" s="3" t="str">
        <v>Arab Union for Marine Transport</v>
      </c>
      <c r="D94" s="3" t="str">
        <v>Ocean Line/Ocean Star</v>
      </c>
      <c r="F94" s="3" t="str">
        <v>Tug</v>
      </c>
      <c r="G94" s="3" t="str">
        <v>Direct</v>
      </c>
      <c r="H94" s="3" t="str">
        <v>Samer</v>
      </c>
    </row>
    <row r="95">
      <c r="A95" s="3">
        <v>44929</v>
      </c>
      <c r="B95" s="3" t="str">
        <v>Q/R/P/23/0093</v>
      </c>
      <c r="C95" s="3" t="str">
        <v>Mina Group</v>
      </c>
      <c r="F95" s="3" t="str">
        <v>MLV</v>
      </c>
      <c r="G95" s="3" t="str">
        <v>Direct</v>
      </c>
      <c r="H95" s="3" t="str">
        <v>Samer</v>
      </c>
    </row>
    <row r="96">
      <c r="A96" s="3">
        <v>44929</v>
      </c>
      <c r="B96" s="3" t="str">
        <v>Q/R/P/23/0094</v>
      </c>
      <c r="C96" s="3" t="str">
        <v>Mina Group</v>
      </c>
      <c r="F96" s="3" t="str">
        <v>GC</v>
      </c>
      <c r="G96" s="3" t="str">
        <v>Direct</v>
      </c>
      <c r="H96" s="3" t="str">
        <v>Samer</v>
      </c>
    </row>
    <row r="97">
      <c r="A97" s="3">
        <v>44929</v>
      </c>
      <c r="B97" s="3" t="str">
        <v>Q/R/H/23/0095</v>
      </c>
      <c r="C97" s="3" t="str">
        <v>Sea Life Shipping</v>
      </c>
      <c r="D97" s="3" t="str">
        <v>Simas/Princess Rawya</v>
      </c>
      <c r="F97" s="3" t="str">
        <v>GC</v>
      </c>
      <c r="G97" s="3" t="str">
        <v>Kuzey</v>
      </c>
      <c r="H97" s="3" t="str">
        <v>Samer</v>
      </c>
    </row>
    <row r="98">
      <c r="A98" s="3">
        <v>44930</v>
      </c>
      <c r="B98" s="3" t="str">
        <v>Q/R/P/23/0096</v>
      </c>
      <c r="C98" s="3" t="str">
        <v>Ultra Vision Marine</v>
      </c>
      <c r="D98" s="3" t="str">
        <v>Lady D</v>
      </c>
      <c r="E98" s="3">
        <v>8913772</v>
      </c>
      <c r="F98" s="3" t="str">
        <v>GC</v>
      </c>
      <c r="G98" s="3" t="str">
        <v>Direct</v>
      </c>
      <c r="H98" s="3" t="str">
        <v>Samer</v>
      </c>
    </row>
    <row r="99">
      <c r="A99" s="3">
        <v>44930</v>
      </c>
      <c r="B99" s="3" t="str">
        <v>Q/R/H/23/0097</v>
      </c>
      <c r="C99" s="3" t="str">
        <v>Ultra Vision Marine</v>
      </c>
      <c r="D99" s="3" t="str">
        <v>Lady D</v>
      </c>
      <c r="E99" s="3">
        <v>8913772</v>
      </c>
      <c r="F99" s="3" t="str">
        <v>GC</v>
      </c>
      <c r="G99" s="3" t="str">
        <v>Direct</v>
      </c>
      <c r="H99" s="3" t="str">
        <v>Samer</v>
      </c>
    </row>
    <row r="100">
      <c r="A100" s="3">
        <v>44930</v>
      </c>
      <c r="B100" s="3" t="str">
        <v>Q/R/H/23/0098</v>
      </c>
      <c r="C100" s="3" t="str">
        <v>Morgan Navigation</v>
      </c>
      <c r="D100" s="3" t="str">
        <v>Dina Queen</v>
      </c>
      <c r="F100" s="3" t="str">
        <v>GC</v>
      </c>
      <c r="G100" s="3" t="str">
        <v>Alfamarine</v>
      </c>
      <c r="H100" s="3" t="str">
        <v>Samer</v>
      </c>
    </row>
    <row r="101">
      <c r="A101" s="3">
        <v>44931</v>
      </c>
      <c r="B101" s="3" t="str">
        <v>Q/R/H/23/0099</v>
      </c>
      <c r="C101" s="3" t="str">
        <v>Daytona Shipmanagement Ltd.</v>
      </c>
      <c r="D101" s="3" t="str">
        <v>New Paris</v>
      </c>
      <c r="E101" s="3">
        <v>9610822</v>
      </c>
      <c r="F101" s="3" t="str">
        <v>GC</v>
      </c>
      <c r="G101" s="3" t="str">
        <v>Brandenburg</v>
      </c>
      <c r="H101" s="3" t="str">
        <v>Samer</v>
      </c>
    </row>
    <row r="102">
      <c r="A102" s="3">
        <v>44931</v>
      </c>
      <c r="B102" s="3" t="str">
        <v>Q/R/W/23/0100</v>
      </c>
      <c r="C102" s="3" t="str">
        <v>Daytona Shipmanagement Ltd.</v>
      </c>
      <c r="D102" s="3" t="str">
        <v>New Paris</v>
      </c>
      <c r="E102" s="3">
        <v>9610822</v>
      </c>
      <c r="F102" s="3" t="str">
        <v>GC</v>
      </c>
      <c r="G102" s="3" t="str">
        <v>Brandenburg</v>
      </c>
      <c r="H102" s="3" t="str">
        <v>Samer</v>
      </c>
    </row>
    <row r="103">
      <c r="A103" s="3">
        <v>44931</v>
      </c>
      <c r="B103" s="3" t="str">
        <v>Q/R/H/23/0101</v>
      </c>
      <c r="C103" s="3" t="str">
        <v>Unifleet Management</v>
      </c>
      <c r="D103" s="3" t="str">
        <v>MAK 1</v>
      </c>
      <c r="E103" s="3">
        <v>9230919</v>
      </c>
      <c r="F103" s="3" t="str">
        <v>GC</v>
      </c>
      <c r="G103" s="3" t="str">
        <v>Sarnia</v>
      </c>
      <c r="H103" s="3" t="str">
        <v>Samer</v>
      </c>
    </row>
    <row r="104">
      <c r="A104" s="3">
        <v>44931</v>
      </c>
      <c r="B104" s="3" t="str">
        <v>Q/R/W/23/0102</v>
      </c>
      <c r="C104" s="3" t="str">
        <v>Unifleet Management</v>
      </c>
      <c r="D104" s="3" t="str">
        <v>MAK 1</v>
      </c>
      <c r="E104" s="3">
        <v>9230919</v>
      </c>
      <c r="F104" s="3" t="str">
        <v>GC</v>
      </c>
      <c r="G104" s="3" t="str">
        <v>Sarnia</v>
      </c>
      <c r="H104" s="3" t="str">
        <v>Samer</v>
      </c>
    </row>
    <row r="105">
      <c r="A105" s="3">
        <v>44931</v>
      </c>
      <c r="B105" s="3" t="str">
        <v>Q/N/H/23/0103</v>
      </c>
      <c r="C105" s="3" t="str">
        <v>TBA</v>
      </c>
      <c r="D105" s="3" t="str">
        <v>Honest 1</v>
      </c>
      <c r="E105" s="3">
        <v>9159804</v>
      </c>
      <c r="F105" s="3" t="str">
        <v>GC</v>
      </c>
      <c r="G105" s="3" t="str">
        <v>Mesco</v>
      </c>
      <c r="H105" s="3" t="str">
        <v>Samer</v>
      </c>
    </row>
    <row r="106">
      <c r="A106" s="3">
        <v>44931</v>
      </c>
      <c r="B106" s="3" t="str">
        <v>Q/A/P/23/0104</v>
      </c>
      <c r="C106" s="3" t="str">
        <v>Ammoun Shipping</v>
      </c>
      <c r="D106" s="3" t="str">
        <v>Ghada A</v>
      </c>
      <c r="E106" s="3">
        <v>7126102</v>
      </c>
      <c r="F106" s="3" t="str">
        <v>GC</v>
      </c>
      <c r="G106" s="3" t="str">
        <v>Direct</v>
      </c>
      <c r="H106" s="3" t="str">
        <v>Samer</v>
      </c>
    </row>
    <row r="107">
      <c r="A107" s="3">
        <v>44937</v>
      </c>
      <c r="B107" s="3" t="str">
        <v>Q/N/H/23/0105</v>
      </c>
      <c r="C107" s="3" t="str">
        <v>AJ Maritime Corp</v>
      </c>
      <c r="D107" s="3" t="str">
        <v>Sun View TBR</v>
      </c>
      <c r="E107" s="3">
        <v>9217785</v>
      </c>
      <c r="F107" s="3" t="str">
        <v>GC</v>
      </c>
      <c r="G107" s="3" t="str">
        <v>Sarnia</v>
      </c>
      <c r="H107" s="3" t="str">
        <v>Samer</v>
      </c>
    </row>
    <row r="108">
      <c r="A108" s="3">
        <v>44937</v>
      </c>
      <c r="B108" s="3" t="str">
        <v>Q/N/W/23/0106</v>
      </c>
      <c r="C108" s="3" t="str">
        <v>AJ Maritime Corp</v>
      </c>
      <c r="D108" s="3" t="str">
        <v>Sun View TBR</v>
      </c>
      <c r="E108" s="3">
        <v>9217786</v>
      </c>
      <c r="F108" s="3" t="str">
        <v>GC</v>
      </c>
      <c r="G108" s="3" t="str">
        <v>Sarnia</v>
      </c>
      <c r="H108" s="3" t="str">
        <v>Samer</v>
      </c>
    </row>
    <row r="109">
      <c r="A109" s="3">
        <v>44937</v>
      </c>
      <c r="B109" s="3" t="str">
        <v>Q/N/P/23/0107</v>
      </c>
      <c r="C109" s="3" t="str">
        <v>Al Sahil Al Ramli Sea Shipping Lines Agents LLC</v>
      </c>
      <c r="D109" s="3" t="str">
        <v>Boomerang</v>
      </c>
      <c r="E109" s="3">
        <v>8617328</v>
      </c>
      <c r="F109" s="3" t="str">
        <v>Ro-Ro</v>
      </c>
      <c r="G109" s="3" t="str">
        <v>Direct</v>
      </c>
      <c r="H109" s="3" t="str">
        <v>Samer</v>
      </c>
    </row>
    <row r="110">
      <c r="A110" s="3">
        <v>44937</v>
      </c>
      <c r="B110" s="3" t="str">
        <v>Q/A/H/23/0108</v>
      </c>
      <c r="C110" s="3" t="str">
        <v>Ocean Fleet Management</v>
      </c>
      <c r="D110" s="3" t="str">
        <v>KS Project</v>
      </c>
      <c r="E110" s="3">
        <v>9457141</v>
      </c>
      <c r="F110" s="3" t="str">
        <v>GC</v>
      </c>
      <c r="G110" s="3" t="str">
        <v>Kominsur</v>
      </c>
      <c r="H110" s="3" t="str">
        <v>Samer</v>
      </c>
    </row>
    <row r="111">
      <c r="A111" s="3">
        <v>44937</v>
      </c>
      <c r="B111" s="3" t="str">
        <v>Q/A/W/23/0109</v>
      </c>
      <c r="C111" s="3" t="str">
        <v>Ocean Fleet Management</v>
      </c>
      <c r="D111" s="3" t="str">
        <v>KS Project</v>
      </c>
      <c r="E111" s="3">
        <v>9457141</v>
      </c>
      <c r="F111" s="3" t="str">
        <v>GC</v>
      </c>
      <c r="G111" s="3" t="str">
        <v>Kominsur</v>
      </c>
      <c r="H111" s="3" t="str">
        <v>Samer</v>
      </c>
    </row>
    <row r="112">
      <c r="A112" s="3">
        <v>44938</v>
      </c>
      <c r="B112" s="3" t="str">
        <v>Q/R/H/23/0110</v>
      </c>
      <c r="C112" s="3" t="str">
        <v>Orient Marine</v>
      </c>
      <c r="D112" s="3" t="str">
        <v>Rider</v>
      </c>
      <c r="E112" s="3">
        <v>9017628</v>
      </c>
      <c r="F112" s="3" t="str">
        <v>GC</v>
      </c>
      <c r="G112" s="3" t="str">
        <v>Direct</v>
      </c>
      <c r="H112" s="3" t="str">
        <v>Samer</v>
      </c>
    </row>
    <row r="113">
      <c r="A113" s="3">
        <v>44938</v>
      </c>
      <c r="B113" s="3" t="str">
        <v>Q/R/W/23/0111</v>
      </c>
      <c r="C113" s="3" t="str">
        <v>Orient Marine</v>
      </c>
      <c r="D113" s="3" t="str">
        <v>Rider</v>
      </c>
      <c r="E113" s="3">
        <v>9017628</v>
      </c>
      <c r="F113" s="3" t="str">
        <v>GC</v>
      </c>
      <c r="G113" s="3" t="str">
        <v>Direct</v>
      </c>
      <c r="H113" s="3" t="str">
        <v>Samer</v>
      </c>
    </row>
    <row r="114">
      <c r="A114" s="3">
        <v>44942</v>
      </c>
      <c r="B114" s="3" t="str">
        <v>Q/R/H/23/0112</v>
      </c>
      <c r="C114" s="3" t="str">
        <v>Cedar Marine Services SAL</v>
      </c>
      <c r="D114" s="3" t="str">
        <v>Professor B</v>
      </c>
      <c r="E114" s="3">
        <v>8401523</v>
      </c>
      <c r="F114" s="3" t="str">
        <v>GC</v>
      </c>
      <c r="G114" s="3" t="str">
        <v>Direct</v>
      </c>
      <c r="H114" s="3" t="str">
        <v>Samer</v>
      </c>
    </row>
    <row r="115">
      <c r="A115" s="3">
        <v>44942</v>
      </c>
      <c r="B115" s="3" t="str">
        <v>Q/R/P/23/0113</v>
      </c>
      <c r="C115" s="3" t="str">
        <v>Cedar Marine Services SAL</v>
      </c>
      <c r="D115" s="3" t="str">
        <v>Professor B</v>
      </c>
      <c r="E115" s="3">
        <v>8401523</v>
      </c>
      <c r="F115" s="3" t="str">
        <v>GC</v>
      </c>
      <c r="G115" s="3" t="str">
        <v>Direct</v>
      </c>
      <c r="H115" s="3" t="str">
        <v>Samer</v>
      </c>
    </row>
    <row r="116">
      <c r="A116" s="3">
        <v>44942</v>
      </c>
      <c r="B116" s="3" t="str">
        <v>Q/R/W/23/0114</v>
      </c>
      <c r="C116" s="3" t="str">
        <v>Cedar Marine Services SAL</v>
      </c>
      <c r="D116" s="3" t="str">
        <v>Professor B</v>
      </c>
      <c r="E116" s="3">
        <v>8401523</v>
      </c>
      <c r="F116" s="3" t="str">
        <v>GC</v>
      </c>
      <c r="G116" s="3" t="str">
        <v>Direct</v>
      </c>
      <c r="H116" s="3" t="str">
        <v>Samer</v>
      </c>
    </row>
    <row r="117">
      <c r="A117" s="3">
        <v>44942</v>
      </c>
      <c r="B117" s="3" t="str">
        <v>Q/N/H/23/0115</v>
      </c>
      <c r="C117" s="3" t="str">
        <v>Baraka Shipping Company Ltd</v>
      </c>
      <c r="D117" s="3" t="str">
        <v>Alfa Watan</v>
      </c>
      <c r="E117" s="3">
        <v>7510884</v>
      </c>
      <c r="F117" s="3" t="str">
        <v>GC</v>
      </c>
      <c r="G117" s="3" t="str">
        <v>Brandenburg</v>
      </c>
      <c r="H117" s="3" t="str">
        <v>Samer</v>
      </c>
    </row>
    <row r="118">
      <c r="A118" s="3">
        <v>44942</v>
      </c>
      <c r="B118" s="3" t="str">
        <v>Q/R/H/23/0116</v>
      </c>
      <c r="C118" s="3" t="str">
        <v>Phoenicia Maritime Shipping Services Ltd</v>
      </c>
      <c r="D118" s="3" t="str">
        <v>Toro Bianco</v>
      </c>
      <c r="E118" s="3">
        <v>9105578</v>
      </c>
      <c r="F118" s="3" t="str">
        <v>BC</v>
      </c>
      <c r="G118" s="3" t="str">
        <v>City</v>
      </c>
      <c r="H118" s="3" t="str">
        <v>Samer</v>
      </c>
    </row>
    <row r="119">
      <c r="A119" s="3">
        <v>44943</v>
      </c>
      <c r="B119" s="3" t="str">
        <v>Q/A/H/23/0117</v>
      </c>
      <c r="C119" s="3" t="str">
        <v>Med Sea Shipping</v>
      </c>
      <c r="D119" s="3" t="str">
        <v>New Spirit</v>
      </c>
      <c r="E119" s="3">
        <v>9604770</v>
      </c>
      <c r="F119" s="3" t="str">
        <v>BC</v>
      </c>
      <c r="G119" s="3" t="str">
        <v>Brandenburg</v>
      </c>
      <c r="H119" s="3" t="str">
        <v>Samer</v>
      </c>
    </row>
    <row r="120">
      <c r="A120" s="3">
        <v>44946</v>
      </c>
      <c r="B120" s="3" t="str">
        <v>Q/A/H/23/0118</v>
      </c>
      <c r="C120" s="3" t="str">
        <v>Murr Shipping</v>
      </c>
      <c r="D120" s="3" t="str">
        <v>Ming Xiang Da 18</v>
      </c>
      <c r="E120" s="3">
        <v>9159000</v>
      </c>
      <c r="F120" s="3" t="str">
        <v>GC</v>
      </c>
      <c r="G120" s="3" t="str">
        <v>Direct</v>
      </c>
      <c r="H120" s="3" t="str">
        <v>Samer</v>
      </c>
    </row>
    <row r="121">
      <c r="A121" s="3">
        <v>44946</v>
      </c>
      <c r="B121" s="3" t="str">
        <v>Q/A/P/23/0119</v>
      </c>
      <c r="C121" s="3" t="str">
        <v>Murr Shipping</v>
      </c>
      <c r="D121" s="3" t="str">
        <v>Ming Xiang Da 19</v>
      </c>
      <c r="E121" s="3">
        <v>9159001</v>
      </c>
      <c r="F121" s="3" t="str">
        <v>GC</v>
      </c>
      <c r="G121" s="3" t="str">
        <v>Direct</v>
      </c>
      <c r="H121" s="3" t="str">
        <v>Samer</v>
      </c>
    </row>
    <row r="122">
      <c r="A122" s="3">
        <v>44946</v>
      </c>
      <c r="B122" s="3" t="str">
        <v>Q/A/H/23/0120</v>
      </c>
      <c r="C122" s="3" t="str">
        <v>Elreedy Shipping Agency</v>
      </c>
      <c r="D122" s="3" t="str">
        <v>Buxcontact</v>
      </c>
      <c r="E122" s="3">
        <v>9235828</v>
      </c>
      <c r="F122" s="3" t="str">
        <v>Container</v>
      </c>
      <c r="G122" s="3" t="str">
        <v>Sarnia</v>
      </c>
      <c r="H122" s="3" t="str">
        <v>Samer</v>
      </c>
    </row>
    <row r="123">
      <c r="A123" s="3">
        <v>44946</v>
      </c>
      <c r="B123" s="3" t="str">
        <v>Q/A/W/23/0121</v>
      </c>
      <c r="C123" s="3" t="str">
        <v>Elreedy Shipping Agency</v>
      </c>
      <c r="D123" s="3" t="str">
        <v>Buxcontact</v>
      </c>
      <c r="E123" s="3">
        <v>9235828</v>
      </c>
      <c r="F123" s="3" t="str">
        <v>Container</v>
      </c>
      <c r="G123" s="3" t="str">
        <v>Sarnia</v>
      </c>
      <c r="H123" s="3" t="str">
        <v>Samer</v>
      </c>
    </row>
    <row r="124">
      <c r="A124" s="3">
        <v>44946</v>
      </c>
      <c r="B124" s="3" t="str">
        <v>Q/N/C/23/0122</v>
      </c>
      <c r="D124" s="3" t="str">
        <v>Adel I</v>
      </c>
      <c r="F124" s="3" t="str">
        <v>MLV</v>
      </c>
      <c r="G124" s="3" t="str">
        <v>Direct</v>
      </c>
      <c r="H124" s="3" t="str">
        <v>Samer</v>
      </c>
    </row>
    <row r="125">
      <c r="A125" s="3">
        <v>44950</v>
      </c>
      <c r="B125" s="3" t="str">
        <v>Q/N/H/23/0123</v>
      </c>
      <c r="D125" s="3" t="str">
        <v>Agia Paraskevi</v>
      </c>
      <c r="F125" s="3" t="str">
        <v>Fishing Vessel</v>
      </c>
      <c r="G125" s="3" t="str">
        <v>Velos</v>
      </c>
      <c r="H125" s="3" t="str">
        <v>Samer</v>
      </c>
    </row>
    <row r="126">
      <c r="A126" s="3">
        <v>44951</v>
      </c>
      <c r="B126" s="3" t="str">
        <v>Q/R/H/23/0124</v>
      </c>
      <c r="D126" s="3" t="str">
        <v>Blue Ocean A</v>
      </c>
      <c r="F126" s="3" t="str">
        <v>MLV</v>
      </c>
      <c r="G126" s="3" t="str">
        <v>GMS</v>
      </c>
      <c r="H126" s="3" t="str">
        <v>Samer</v>
      </c>
    </row>
    <row r="127">
      <c r="A127" s="3">
        <v>44951</v>
      </c>
      <c r="B127" s="3" t="str">
        <v>Q/R/P/23/0125</v>
      </c>
      <c r="D127" s="3" t="str">
        <v>Blue Ocean A</v>
      </c>
      <c r="F127" s="3" t="str">
        <v>MLV</v>
      </c>
      <c r="G127" s="3" t="str">
        <v>GMS</v>
      </c>
      <c r="H127" s="3" t="str">
        <v>Samer</v>
      </c>
    </row>
    <row r="128">
      <c r="A128" s="3">
        <v>44953</v>
      </c>
      <c r="B128" s="3" t="str">
        <v>Q/N/H/23/0126</v>
      </c>
      <c r="C128" s="3" t="str">
        <v>ALR Shipping and Foreign Trade Ltd</v>
      </c>
      <c r="D128" s="3" t="str">
        <v>Murat 131</v>
      </c>
      <c r="E128" s="3">
        <v>7407233</v>
      </c>
      <c r="F128" s="3" t="str">
        <v>GC</v>
      </c>
      <c r="G128" s="3" t="str">
        <v>IPIC</v>
      </c>
      <c r="H128" s="3" t="str">
        <v>Samer</v>
      </c>
    </row>
    <row r="129">
      <c r="A129" s="3">
        <v>44953</v>
      </c>
      <c r="B129" s="3" t="str">
        <v>Q/N/H/23/0127</v>
      </c>
      <c r="C129" s="3" t="str">
        <v>True Navigation Pte. Ltd</v>
      </c>
      <c r="D129" s="3" t="str">
        <v>Fishing Vessels</v>
      </c>
      <c r="F129" s="3" t="str">
        <v>Fishing Vessel</v>
      </c>
      <c r="G129" s="3" t="str">
        <v>IPIC</v>
      </c>
      <c r="H129" s="3" t="str">
        <v>Samer</v>
      </c>
    </row>
    <row r="130">
      <c r="A130" s="3">
        <v>44953</v>
      </c>
      <c r="B130" s="3" t="str">
        <v>Q/R/H/23/0128</v>
      </c>
      <c r="C130" s="3" t="str">
        <v>Al Mahmoud International</v>
      </c>
      <c r="D130" s="3" t="str">
        <v>Pacific M</v>
      </c>
      <c r="E130" s="3">
        <v>7041053</v>
      </c>
      <c r="F130" s="3" t="str">
        <v>MLV</v>
      </c>
      <c r="G130" s="3" t="str">
        <v>Direct</v>
      </c>
      <c r="H130" s="3" t="str">
        <v>Samer</v>
      </c>
    </row>
    <row r="131">
      <c r="A131" s="3">
        <v>44953</v>
      </c>
      <c r="B131" s="3" t="str">
        <v>Q/R/P/23/0129</v>
      </c>
      <c r="C131" s="3" t="str">
        <v>Al Mahmoud International</v>
      </c>
      <c r="D131" s="3" t="str">
        <v>Pacific M</v>
      </c>
      <c r="E131" s="3">
        <v>7041053</v>
      </c>
      <c r="F131" s="3" t="str">
        <v>MLV</v>
      </c>
      <c r="G131" s="3" t="str">
        <v>Direct</v>
      </c>
      <c r="H131" s="3" t="str">
        <v>Samer</v>
      </c>
    </row>
    <row r="132">
      <c r="A132" s="3">
        <v>44953</v>
      </c>
      <c r="B132" s="3" t="str">
        <v>Q/N/P/23/0130</v>
      </c>
      <c r="D132" s="3" t="str">
        <v>Darla</v>
      </c>
      <c r="E132" s="3">
        <v>7601073</v>
      </c>
      <c r="F132" s="3" t="str">
        <v>MLV</v>
      </c>
      <c r="G132" s="3" t="str">
        <v>Direct</v>
      </c>
      <c r="H132" s="3" t="str">
        <v>Samer</v>
      </c>
    </row>
    <row r="133">
      <c r="A133" s="3">
        <v>44956</v>
      </c>
      <c r="B133" s="3" t="str">
        <v>Q/R/P/23/0131</v>
      </c>
      <c r="C133" s="3" t="str">
        <v>Transocean Marine LLC</v>
      </c>
      <c r="D133" s="3" t="str">
        <v>Abdullah</v>
      </c>
      <c r="E133" s="3">
        <v>7819876</v>
      </c>
      <c r="F133" s="3" t="str">
        <v>MLV</v>
      </c>
      <c r="G133" s="3" t="str">
        <v>SSS</v>
      </c>
      <c r="H133" s="3" t="str">
        <v>Samer</v>
      </c>
    </row>
    <row r="134">
      <c r="A134" s="3">
        <v>44956</v>
      </c>
      <c r="B134" s="3" t="str">
        <v>Q/N/H/23/0132</v>
      </c>
      <c r="C134" s="3" t="str">
        <v>MSG</v>
      </c>
      <c r="D134" s="3" t="str">
        <v>MSGAlawal/MSG006</v>
      </c>
      <c r="F134" s="3" t="str">
        <v>Passenger Vessel</v>
      </c>
      <c r="G134" s="3" t="str">
        <v>Saif Al Rashidi</v>
      </c>
      <c r="H134" s="3" t="str">
        <v>Samer</v>
      </c>
    </row>
    <row r="135">
      <c r="A135" s="3">
        <v>44956</v>
      </c>
      <c r="B135" s="3" t="str">
        <v>Q/N/P/23/0133</v>
      </c>
      <c r="C135" s="3" t="str">
        <v>MSG</v>
      </c>
      <c r="D135" s="3" t="str">
        <v>MSGAlawal/MSG006</v>
      </c>
      <c r="F135" s="3" t="str">
        <v>Passenger Vessel</v>
      </c>
      <c r="G135" s="3" t="str">
        <v>Saif Al Rashidi</v>
      </c>
      <c r="H135" s="3" t="str">
        <v>Samer</v>
      </c>
    </row>
    <row r="136">
      <c r="A136" s="3">
        <v>44957</v>
      </c>
      <c r="B136" s="3" t="str">
        <v>Q/N/H/23/0134</v>
      </c>
      <c r="C136" s="3" t="str">
        <v>Danforth Maritime Services LLC</v>
      </c>
      <c r="D136" s="3" t="str">
        <v>Shadeedah</v>
      </c>
      <c r="E136" s="3">
        <v>9331103</v>
      </c>
      <c r="F136" s="3" t="str">
        <v>O/T</v>
      </c>
      <c r="G136" s="3" t="str">
        <v>IPIC</v>
      </c>
      <c r="H136" s="3" t="str">
        <v>Samer</v>
      </c>
    </row>
    <row r="137">
      <c r="B137" s="3" t="str">
        <v>Q/N/H/23/0135</v>
      </c>
      <c r="C137" s="3" t="str">
        <v xml:space="preserve">Trishulin </v>
      </c>
      <c r="H137" s="3" t="str">
        <v>Samer</v>
      </c>
    </row>
    <row r="138">
      <c r="B138" s="3" t="str">
        <v>Q/N/H/23/0136</v>
      </c>
      <c r="C138" s="3" t="str">
        <v>BOSL</v>
      </c>
      <c r="H138" s="3" t="str">
        <v>Samer</v>
      </c>
    </row>
    <row r="139">
      <c r="B139" s="3" t="str">
        <v>Q/N/H/23/0137</v>
      </c>
      <c r="C139" s="3" t="str">
        <v>Univest Limited</v>
      </c>
      <c r="H139" s="3" t="str">
        <v>Samer</v>
      </c>
    </row>
    <row r="140">
      <c r="A140" s="3">
        <v>44963</v>
      </c>
      <c r="B140" s="3" t="str">
        <v>Q/N/H/23/0138</v>
      </c>
      <c r="C140" s="3" t="str">
        <v xml:space="preserve">Ulgen Marine &amp; Logistics </v>
      </c>
      <c r="D140" s="3" t="str">
        <v>Yuzer 1/Prima</v>
      </c>
      <c r="F140" s="3" t="str">
        <v>GC</v>
      </c>
      <c r="G140" s="3" t="str">
        <v>City</v>
      </c>
      <c r="H140" s="3" t="str">
        <v>Samer</v>
      </c>
    </row>
    <row r="141">
      <c r="A141" s="3">
        <v>44966</v>
      </c>
      <c r="B141" s="3" t="str">
        <v>Q/N/V/23/0139</v>
      </c>
      <c r="C141" s="3" t="str">
        <v>Huta</v>
      </c>
      <c r="D141" s="3" t="str">
        <v>Huta</v>
      </c>
      <c r="F141" s="3" t="str">
        <v>Barge</v>
      </c>
      <c r="G141" s="3" t="str">
        <v>Fairwater</v>
      </c>
      <c r="H141" s="3" t="str">
        <v>Samer</v>
      </c>
    </row>
    <row r="142">
      <c r="A142" s="3">
        <v>44967</v>
      </c>
      <c r="B142" s="3" t="str">
        <v>Q/R/P/23/0140</v>
      </c>
      <c r="C142" s="3" t="str">
        <v>Nidal Mahmoud Ibrahim Al-Ayat</v>
      </c>
      <c r="D142" s="3" t="str">
        <v>Taiba</v>
      </c>
      <c r="E142" s="3">
        <v>7708807</v>
      </c>
      <c r="F142" s="3" t="str">
        <v>MLV</v>
      </c>
      <c r="G142" s="3" t="str">
        <v>Direct</v>
      </c>
      <c r="H142" s="3" t="str">
        <v>Samer</v>
      </c>
    </row>
    <row r="143">
      <c r="A143" s="3">
        <v>44971</v>
      </c>
      <c r="B143" s="3" t="str">
        <v>Q/R/P/23/0141</v>
      </c>
      <c r="D143" s="3" t="str">
        <v>Majd B</v>
      </c>
      <c r="H143" s="3" t="str">
        <v>Samer</v>
      </c>
    </row>
    <row r="144">
      <c r="A144" s="3">
        <v>44971</v>
      </c>
      <c r="B144" s="3" t="str">
        <v>Q/A/H/23/0142</v>
      </c>
      <c r="C144" s="3" t="str">
        <v>Tehama</v>
      </c>
      <c r="D144" s="3" t="str">
        <v>Buxcontact / TSS Shams</v>
      </c>
      <c r="F144" s="3" t="str">
        <v>BC</v>
      </c>
      <c r="G144" s="3" t="str">
        <v>Mesco</v>
      </c>
      <c r="H144" s="3" t="str">
        <v>Samer</v>
      </c>
    </row>
    <row r="145">
      <c r="A145" s="3">
        <v>44972</v>
      </c>
      <c r="B145" s="3" t="str">
        <v>Q/N/H/23/0143</v>
      </c>
      <c r="D145" s="3" t="str">
        <v>Sultan 114</v>
      </c>
      <c r="G145" s="3" t="str">
        <v>IPIC</v>
      </c>
      <c r="H145" s="3" t="str">
        <v>Samer</v>
      </c>
    </row>
    <row r="146">
      <c r="A146" s="3">
        <v>44972</v>
      </c>
      <c r="B146" s="3" t="str">
        <v>Q/N/H/23/0144</v>
      </c>
      <c r="C146" s="3" t="str">
        <v xml:space="preserve">Ulgen Marine &amp; Logistics </v>
      </c>
      <c r="D146" s="3" t="str">
        <v>Karadenizcem</v>
      </c>
      <c r="F146" s="3" t="str">
        <v>Cement Carrier</v>
      </c>
      <c r="G146" s="3" t="str">
        <v>City</v>
      </c>
      <c r="H146" s="3" t="str">
        <v>Samer</v>
      </c>
    </row>
    <row r="147">
      <c r="A147" s="3">
        <v>44977</v>
      </c>
      <c r="B147" s="3" t="str">
        <v>Q/N/P/23/0145</v>
      </c>
      <c r="C147" s="3" t="str">
        <v>Ocmis Maritime</v>
      </c>
      <c r="D147" s="3" t="str">
        <v>Ocmis Gar</v>
      </c>
      <c r="E147" s="3">
        <v>9141625</v>
      </c>
      <c r="F147" s="3" t="str">
        <v>GC</v>
      </c>
      <c r="G147" s="3" t="str">
        <v>Mesco</v>
      </c>
      <c r="H147" s="3" t="str">
        <v>Samer</v>
      </c>
    </row>
    <row r="148">
      <c r="A148" s="3">
        <v>44977</v>
      </c>
      <c r="B148" s="3" t="str">
        <v>Q/N/H/23/0146</v>
      </c>
      <c r="C148" s="3" t="str">
        <v>MSCO GLOBAL LTD</v>
      </c>
      <c r="D148" s="3" t="str">
        <v>Carina</v>
      </c>
      <c r="E148" s="3">
        <v>8908545</v>
      </c>
      <c r="F148" s="3" t="str">
        <v>Dry Cargo</v>
      </c>
      <c r="G148" s="3" t="str">
        <v>Kominsur</v>
      </c>
      <c r="H148" s="3" t="str">
        <v>Samer</v>
      </c>
    </row>
    <row r="149">
      <c r="A149" s="3">
        <v>44977</v>
      </c>
      <c r="B149" s="3" t="str">
        <v>Q/A/H/23/0147</v>
      </c>
      <c r="C149" s="3" t="str">
        <v>Adriatic for Management and Services Marine Ltd</v>
      </c>
      <c r="D149" s="3" t="str">
        <v>Al-Awad 1</v>
      </c>
      <c r="E149" s="3">
        <v>7367976</v>
      </c>
      <c r="F149" s="3" t="str">
        <v>MLV</v>
      </c>
      <c r="G149" s="3" t="str">
        <v>Sarnia</v>
      </c>
      <c r="H149" s="3" t="str">
        <v>Samer</v>
      </c>
    </row>
    <row r="150">
      <c r="A150" s="3">
        <v>44977</v>
      </c>
      <c r="B150" s="3" t="str">
        <v>Q/A/P/23/0148</v>
      </c>
      <c r="C150" s="3" t="str">
        <v>Adriatic for Management and Services Marine Ltd</v>
      </c>
      <c r="D150" s="3" t="str">
        <v>Al-Awad 1</v>
      </c>
      <c r="E150" s="3">
        <v>7367976</v>
      </c>
      <c r="F150" s="3" t="str">
        <v>MLV</v>
      </c>
      <c r="G150" s="3" t="str">
        <v>Sarnia</v>
      </c>
      <c r="H150" s="3" t="str">
        <v>Samer</v>
      </c>
    </row>
    <row r="151">
      <c r="A151" s="3">
        <v>44978</v>
      </c>
      <c r="B151" s="3" t="str">
        <v>Q/R/H/23/0149</v>
      </c>
      <c r="C151" s="3" t="str">
        <v>Safe Sea Services</v>
      </c>
      <c r="D151" s="3" t="str">
        <v>Lady Sarah</v>
      </c>
      <c r="E151" s="3">
        <v>9155626</v>
      </c>
      <c r="F151" s="3" t="str">
        <v>LPG</v>
      </c>
      <c r="G151" s="3" t="str">
        <v>SSS</v>
      </c>
      <c r="H151" s="3" t="str">
        <v>Samer</v>
      </c>
    </row>
    <row r="152">
      <c r="A152" s="3">
        <v>44978</v>
      </c>
      <c r="B152" s="3" t="str">
        <v>Q/R/W/23/0150</v>
      </c>
      <c r="C152" s="3" t="str">
        <v>Safe Sea Services</v>
      </c>
      <c r="D152" s="3" t="str">
        <v>Lady Sarah</v>
      </c>
      <c r="E152" s="3">
        <v>9155626</v>
      </c>
      <c r="F152" s="3" t="str">
        <v>LPG</v>
      </c>
      <c r="G152" s="3" t="str">
        <v>SSS</v>
      </c>
      <c r="H152" s="3" t="str">
        <v>Samer</v>
      </c>
    </row>
    <row r="153">
      <c r="A153" s="3">
        <v>44978</v>
      </c>
      <c r="B153" s="3" t="str">
        <v>Q/R/H/23/0151</v>
      </c>
      <c r="C153" s="3" t="str">
        <v>Safe Sea Services</v>
      </c>
      <c r="D153" s="3" t="str">
        <v>Mirabella-Asmaa</v>
      </c>
      <c r="F153" s="3" t="str">
        <v>BC</v>
      </c>
      <c r="G153" s="3" t="str">
        <v>SSS</v>
      </c>
      <c r="H153" s="3" t="str">
        <v>Samer</v>
      </c>
    </row>
    <row r="154">
      <c r="A154" s="3">
        <v>44978</v>
      </c>
      <c r="B154" s="3" t="str">
        <v>Q/R/W/23/0152</v>
      </c>
      <c r="C154" s="3" t="str">
        <v>Safe Sea Services</v>
      </c>
      <c r="D154" s="3" t="str">
        <v>Mirabella-Asmaa</v>
      </c>
      <c r="F154" s="3" t="str">
        <v>BC</v>
      </c>
      <c r="G154" s="3" t="str">
        <v>SSS</v>
      </c>
      <c r="H154" s="3" t="str">
        <v>Samer</v>
      </c>
    </row>
    <row r="155">
      <c r="A155" s="3">
        <v>44978</v>
      </c>
      <c r="B155" s="3" t="str">
        <v>Q/R/H/23/0153</v>
      </c>
      <c r="C155" s="3" t="str">
        <v>Safe Sea Services</v>
      </c>
      <c r="D155" s="3" t="str">
        <v>Maria Queen</v>
      </c>
      <c r="F155" s="3" t="str">
        <v>GC</v>
      </c>
      <c r="G155" s="3" t="str">
        <v>SSS</v>
      </c>
      <c r="H155" s="3" t="str">
        <v>Samer</v>
      </c>
    </row>
    <row r="156">
      <c r="A156" s="3">
        <v>44978</v>
      </c>
      <c r="B156" s="3" t="str">
        <v>Q/R/P/23/0154</v>
      </c>
      <c r="C156" s="3" t="str">
        <v>Safe Sea Services</v>
      </c>
      <c r="D156" s="3" t="str">
        <v>Maria Queen</v>
      </c>
      <c r="F156" s="3" t="str">
        <v>GC</v>
      </c>
      <c r="G156" s="3" t="str">
        <v>SSS</v>
      </c>
      <c r="H156" s="3" t="str">
        <v>Samer</v>
      </c>
    </row>
    <row r="157">
      <c r="A157" s="3">
        <v>44978</v>
      </c>
      <c r="B157" s="3" t="str">
        <v>Q/R/W/23/0155</v>
      </c>
      <c r="C157" s="3" t="str">
        <v>Safe Sea Services</v>
      </c>
      <c r="D157" s="3" t="str">
        <v>Maria Queen</v>
      </c>
      <c r="F157" s="3" t="str">
        <v>GC</v>
      </c>
      <c r="G157" s="3" t="str">
        <v>SSS</v>
      </c>
      <c r="H157" s="3" t="str">
        <v>Samer</v>
      </c>
    </row>
    <row r="158">
      <c r="A158" s="3">
        <v>44978</v>
      </c>
      <c r="B158" s="3" t="str">
        <v>Q/R/H/23/0156</v>
      </c>
      <c r="C158" s="3" t="str">
        <v>Mina Group</v>
      </c>
      <c r="D158" s="3" t="str">
        <v>W M F Express</v>
      </c>
      <c r="F158" s="3" t="str">
        <v>MLV</v>
      </c>
      <c r="G158" s="3" t="str">
        <v>Direct</v>
      </c>
      <c r="H158" s="3" t="str">
        <v>Samer</v>
      </c>
    </row>
    <row r="159">
      <c r="A159" s="3">
        <v>44978</v>
      </c>
      <c r="B159" s="3" t="str">
        <v>Q/R/P/23/0157</v>
      </c>
      <c r="C159" s="3" t="str">
        <v>Mina Group</v>
      </c>
      <c r="D159" s="3" t="str">
        <v>W M F Express</v>
      </c>
      <c r="F159" s="3" t="str">
        <v>MLV</v>
      </c>
      <c r="G159" s="3" t="str">
        <v>Direct</v>
      </c>
      <c r="H159" s="3" t="str">
        <v>Samer</v>
      </c>
    </row>
    <row r="160">
      <c r="A160" s="3">
        <v>44978</v>
      </c>
      <c r="B160" s="3" t="str">
        <v>Q/N/H/23/0158</v>
      </c>
      <c r="C160" s="3" t="str">
        <v>Safe Sea Services</v>
      </c>
      <c r="D160" s="3" t="str">
        <v>Lady Mia</v>
      </c>
      <c r="F160" s="3" t="str">
        <v>GC</v>
      </c>
      <c r="G160" s="3" t="str">
        <v>SSS</v>
      </c>
      <c r="H160" s="3" t="str">
        <v>Samer</v>
      </c>
    </row>
    <row r="161">
      <c r="A161" s="3">
        <v>44978</v>
      </c>
      <c r="B161" s="3" t="str">
        <v>Q/R/H/23/0159</v>
      </c>
      <c r="C161" s="3" t="str">
        <v>DMS Lines</v>
      </c>
      <c r="D161" s="3" t="str">
        <v>Sarah M</v>
      </c>
      <c r="F161" s="3" t="str">
        <v>MLV</v>
      </c>
      <c r="G161" s="3" t="str">
        <v>Direct</v>
      </c>
      <c r="H161" s="3" t="str">
        <v>Samer</v>
      </c>
    </row>
    <row r="162">
      <c r="A162" s="3">
        <v>44978</v>
      </c>
      <c r="B162" s="3" t="str">
        <v>Q/R/W/23/0160</v>
      </c>
      <c r="C162" s="3" t="str">
        <v>DMS Lines</v>
      </c>
      <c r="D162" s="3" t="str">
        <v>Sarah M</v>
      </c>
      <c r="F162" s="3" t="str">
        <v>MLV</v>
      </c>
      <c r="G162" s="3" t="str">
        <v>Direct</v>
      </c>
      <c r="H162" s="3" t="str">
        <v>Samer</v>
      </c>
    </row>
    <row r="163">
      <c r="A163" s="3">
        <v>44978</v>
      </c>
      <c r="B163" s="3" t="str">
        <v>Q/R/H/23/0161</v>
      </c>
      <c r="C163" s="3" t="str">
        <v>Gulf Coast Shipping</v>
      </c>
      <c r="D163" s="3" t="str">
        <v>Adel I</v>
      </c>
      <c r="E163" s="3">
        <v>8017970</v>
      </c>
      <c r="F163" s="3" t="str">
        <v>MLV</v>
      </c>
      <c r="G163" s="3" t="str">
        <v>Direct</v>
      </c>
      <c r="H163" s="3" t="str">
        <v>Samer</v>
      </c>
    </row>
    <row r="164">
      <c r="A164" s="3">
        <v>44978</v>
      </c>
      <c r="B164" s="3" t="str">
        <v>Q/R/W/23/0162</v>
      </c>
      <c r="C164" s="3" t="str">
        <v>Gulf Coast Shipping</v>
      </c>
      <c r="D164" s="3" t="str">
        <v>Adel I</v>
      </c>
      <c r="E164" s="3">
        <v>8017970</v>
      </c>
      <c r="F164" s="3" t="str">
        <v>MLV</v>
      </c>
      <c r="G164" s="3" t="str">
        <v>Direct</v>
      </c>
      <c r="H164" s="3" t="str">
        <v>Samer</v>
      </c>
    </row>
    <row r="165">
      <c r="A165" s="3">
        <v>44981</v>
      </c>
      <c r="B165" s="3" t="str">
        <v>Q/N/H/23/0163</v>
      </c>
      <c r="C165" s="3" t="str">
        <v xml:space="preserve">Trishulin </v>
      </c>
      <c r="D165" s="3" t="str">
        <v>R S G</v>
      </c>
      <c r="E165" s="3">
        <v>9600803</v>
      </c>
      <c r="F165" s="3" t="str">
        <v>O/T</v>
      </c>
      <c r="G165" s="3" t="str">
        <v>IPIC</v>
      </c>
      <c r="H165" s="3" t="str">
        <v>Samer</v>
      </c>
    </row>
    <row r="166">
      <c r="A166" s="3">
        <v>44981</v>
      </c>
      <c r="B166" s="3" t="str">
        <v>Q/R/H/23/0164</v>
      </c>
      <c r="C166" s="3" t="str">
        <v>Lightship</v>
      </c>
      <c r="D166" s="3" t="str">
        <v>Serenity gas</v>
      </c>
      <c r="G166" s="3" t="str">
        <v>Kominsur</v>
      </c>
      <c r="H166" s="3" t="str">
        <v>Samer</v>
      </c>
    </row>
    <row r="167">
      <c r="A167" s="3">
        <v>44981</v>
      </c>
      <c r="B167" s="3" t="str">
        <v>Q/R/H/23/0165</v>
      </c>
      <c r="C167" s="3" t="str">
        <v>Lightship</v>
      </c>
      <c r="D167" s="3" t="str">
        <v>Elise</v>
      </c>
      <c r="E167" s="3">
        <v>9277747</v>
      </c>
      <c r="F167" s="3" t="str">
        <v>O/T</v>
      </c>
      <c r="G167" s="3" t="str">
        <v>Kominsur</v>
      </c>
      <c r="H167" s="3" t="str">
        <v>Samer</v>
      </c>
    </row>
    <row r="168">
      <c r="A168" s="3">
        <v>44985</v>
      </c>
      <c r="B168" s="3" t="str">
        <v>Q/N/H/23/0166</v>
      </c>
      <c r="C168" s="3" t="str">
        <v>Gelibolu Shipping</v>
      </c>
      <c r="D168" s="3" t="str">
        <v>Gelibolu</v>
      </c>
      <c r="F168" s="3" t="str">
        <v>GC</v>
      </c>
      <c r="G168" s="3" t="str">
        <v>Kuzey</v>
      </c>
      <c r="H168" s="3" t="str">
        <v>Samer</v>
      </c>
    </row>
    <row r="169">
      <c r="A169" s="3">
        <v>44985</v>
      </c>
      <c r="B169" s="3" t="str">
        <v>Q/R/P/23/0167</v>
      </c>
      <c r="C169" s="3" t="str">
        <v>AMJ Marine</v>
      </c>
      <c r="D169" s="3" t="str">
        <v>Janay</v>
      </c>
      <c r="F169" s="3" t="str">
        <v>MLV</v>
      </c>
      <c r="G169" s="3" t="str">
        <v>Direct</v>
      </c>
      <c r="H169" s="3" t="str">
        <v>Samer</v>
      </c>
    </row>
    <row r="170">
      <c r="A170" s="3">
        <v>44987</v>
      </c>
      <c r="B170" s="3" t="str">
        <v>Q/N/C/23/0168</v>
      </c>
      <c r="D170" s="3" t="str">
        <v>MF Breeze</v>
      </c>
      <c r="F170" s="3" t="str">
        <v>GC</v>
      </c>
      <c r="G170" s="3" t="str">
        <v>Direct</v>
      </c>
      <c r="H170" s="3" t="str">
        <v>Samer</v>
      </c>
    </row>
    <row r="171">
      <c r="A171" s="3">
        <v>44987</v>
      </c>
      <c r="B171" s="3" t="str">
        <v>Q/R/H/23/0169</v>
      </c>
      <c r="D171" s="3" t="str">
        <v>Sea Wave</v>
      </c>
      <c r="G171" s="3" t="str">
        <v>Mesco</v>
      </c>
      <c r="H171" s="3" t="str">
        <v>Samer</v>
      </c>
    </row>
    <row r="172">
      <c r="A172" s="3">
        <v>44987</v>
      </c>
      <c r="B172" s="3" t="str">
        <v>Q/R/H/23/0170</v>
      </c>
      <c r="C172" s="3" t="str">
        <v>Beijing ASL</v>
      </c>
      <c r="D172" s="3" t="str">
        <v>Tarlan/Tyana</v>
      </c>
      <c r="G172" s="3" t="str">
        <v>Brandenburg</v>
      </c>
      <c r="H172" s="3" t="str">
        <v>Samer</v>
      </c>
    </row>
    <row r="173">
      <c r="A173" s="3">
        <v>44987</v>
      </c>
      <c r="B173" s="3" t="str">
        <v>Q/R/H/23/0171</v>
      </c>
      <c r="C173" s="3" t="str">
        <v>Zamzam Marine</v>
      </c>
      <c r="D173" s="3" t="str">
        <v>Zamzam/Zamzam I</v>
      </c>
      <c r="G173" s="3" t="str">
        <v>Brandenburg</v>
      </c>
      <c r="H173" s="3" t="str">
        <v>Samer</v>
      </c>
    </row>
    <row r="174">
      <c r="A174" s="3">
        <v>44987</v>
      </c>
      <c r="B174" s="3" t="str">
        <v>Q/R/H/23/0172</v>
      </c>
      <c r="C174" s="3" t="str">
        <v>MN Shipping Inc.</v>
      </c>
      <c r="D174" s="3" t="str">
        <v>MN Leo</v>
      </c>
      <c r="E174" s="3">
        <v>9000405</v>
      </c>
      <c r="F174" s="3" t="str">
        <v>GC</v>
      </c>
      <c r="G174" s="3" t="str">
        <v>SSS</v>
      </c>
      <c r="H174" s="3" t="str">
        <v>Samer</v>
      </c>
    </row>
    <row r="175">
      <c r="A175" s="3">
        <v>44990</v>
      </c>
      <c r="B175" s="3" t="str">
        <v>Q/N/H/23/0173</v>
      </c>
      <c r="C175" s="3" t="str">
        <v>Tehama</v>
      </c>
      <c r="D175" s="3" t="str">
        <v>Bazalt</v>
      </c>
      <c r="E175" s="3">
        <v>7911636</v>
      </c>
      <c r="F175" s="3" t="str">
        <v>Tug</v>
      </c>
      <c r="G175" s="3" t="str">
        <v>Mesco</v>
      </c>
      <c r="H175" s="3" t="str">
        <v>Samer</v>
      </c>
    </row>
    <row r="176">
      <c r="A176" s="3">
        <v>44990</v>
      </c>
      <c r="B176" s="3" t="str">
        <v>Q/N/P/23/0174</v>
      </c>
      <c r="C176" s="3" t="str">
        <v>Tehama</v>
      </c>
      <c r="D176" s="3" t="str">
        <v>Bazalt</v>
      </c>
      <c r="E176" s="3">
        <v>7911637</v>
      </c>
      <c r="F176" s="3" t="str">
        <v>Tug</v>
      </c>
      <c r="G176" s="3" t="str">
        <v>Mesco</v>
      </c>
      <c r="H176" s="3" t="str">
        <v>Samer</v>
      </c>
    </row>
  </sheetData>
  <pageMargins left="0.7" right="0.7" top="0.75" bottom="0.75" header="0.3" footer="0.3"/>
  <ignoredErrors>
    <ignoredError numberStoredAsText="1" sqref="A1:H1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84"/>
  <sheetViews>
    <sheetView workbookViewId="0" rightToLeft="0"/>
  </sheetViews>
  <sheetData>
    <row r="2">
      <c r="A2" s="3" t="str">
        <v>Date</v>
      </c>
      <c r="B2" s="3" t="str">
        <v>Quotation Type</v>
      </c>
      <c r="C2" s="3" t="str">
        <v>Branch</v>
      </c>
      <c r="D2" s="3" t="str">
        <v>Seq. Number</v>
      </c>
      <c r="E2" s="3" t="str">
        <v>Reference</v>
      </c>
      <c r="F2" s="3" t="str">
        <v>Managers</v>
      </c>
      <c r="G2" s="3" t="str">
        <v>Vessel</v>
      </c>
      <c r="H2" s="3" t="str">
        <v>IMO</v>
      </c>
      <c r="I2" s="3" t="str">
        <v>Type</v>
      </c>
      <c r="J2" s="3" t="str">
        <v>Broker</v>
      </c>
    </row>
    <row r="3">
      <c r="A3" s="3">
        <f>IF(B3&lt;&gt;"",IF(A3&lt;&gt;"",A3,NOW()),"")</f>
        <v>0</v>
      </c>
      <c r="B3" s="3" t="str">
        <v>A:Addition</v>
      </c>
      <c r="C3" s="3" t="str">
        <v>P:P&amp;I</v>
      </c>
      <c r="D3" s="3">
        <v>176</v>
      </c>
      <c r="E3" s="3" t="str">
        <f>CONCAT("Q","/",LEFT(Table2[[#This Row],[Quotation Type]],1),"/", LEFT(Table2[[#This Row],[Branch]],1),"/", RIGHT(YEAR(TODAY()),2), "/",Table2[[#This Row],[Seq. Number]])</f>
        <v>Q/A/P/26/176</v>
      </c>
    </row>
    <row r="4">
      <c r="A4" s="3">
        <f>IF(B4&lt;&gt;"",IF(A4&lt;&gt;"",A4,NOW()),"")</f>
        <v>44990.800543171295</v>
      </c>
      <c r="B4" s="3" t="str">
        <v>N:New Quotation</v>
      </c>
      <c r="C4" s="3" t="str">
        <v>W:War</v>
      </c>
      <c r="D4" s="3">
        <f>D3+1</f>
        <v>177</v>
      </c>
      <c r="E4" s="3" t="str">
        <f>CONCAT("Q","/",LEFT(Table2[[#This Row],[Quotation Type]],1),"/", LEFT(Table2[[#This Row],[Branch]],1),"/", RIGHT(YEAR(TODAY()),2), "/",Table2[[#This Row],[Seq. Number]])</f>
        <v>Q/N/W/26/177</v>
      </c>
    </row>
    <row r="5">
      <c r="A5" s="3">
        <f>IF(B5&lt;&gt;"",IF(A5&lt;&gt;"",A5,NOW()),"")</f>
        <v>44992.45625231481</v>
      </c>
      <c r="B5" s="3" t="str">
        <v>A:Addition</v>
      </c>
      <c r="C5" s="3" t="str">
        <v>H:Hull</v>
      </c>
      <c r="D5" s="3">
        <f>D4+1</f>
        <v>178</v>
      </c>
      <c r="E5" s="3" t="str">
        <f>CONCAT("Q","/",LEFT(Table2[[#This Row],[Quotation Type]],1),"/", LEFT(Table2[[#This Row],[Branch]],1),"/", RIGHT(YEAR(TODAY()),2), "/",Table2[[#This Row],[Seq. Number]])</f>
        <v>Q/A/H/26/178</v>
      </c>
      <c r="F5" s="3" t="str">
        <v>Bernard Shipping</v>
      </c>
      <c r="G5" s="3" t="str">
        <v>Princess Mariam</v>
      </c>
      <c r="H5" s="3">
        <v>7917018</v>
      </c>
      <c r="I5" s="3" t="str">
        <v>GC</v>
      </c>
      <c r="J5" s="3" t="str">
        <v>Direct</v>
      </c>
    </row>
    <row r="6">
      <c r="A6" s="3">
        <f>IF(B6&lt;&gt;"",IF(A6&lt;&gt;"",A6,NOW()),"")</f>
        <v>44992.45771365741</v>
      </c>
      <c r="B6" s="3" t="str">
        <v>R:Renewal</v>
      </c>
      <c r="C6" s="3" t="str">
        <v>P:P&amp;I</v>
      </c>
      <c r="D6" s="3">
        <f>D5+1</f>
        <v>179</v>
      </c>
      <c r="E6" s="3" t="str">
        <f>CONCAT("Q","/",LEFT(Table2[[#This Row],[Quotation Type]],1),"/", LEFT(Table2[[#This Row],[Branch]],1),"/", RIGHT(YEAR(TODAY()),2), "/",Table2[[#This Row],[Seq. Number]])</f>
        <v>Q/R/P/26/179</v>
      </c>
      <c r="F6" s="3" t="str">
        <v>Bernard Shipping</v>
      </c>
      <c r="G6" s="3" t="str">
        <v>Prince Zafer</v>
      </c>
      <c r="H6" s="3">
        <v>7916997</v>
      </c>
      <c r="I6" s="3" t="str">
        <v>GC</v>
      </c>
      <c r="J6" s="3" t="str">
        <v>Direct</v>
      </c>
    </row>
    <row r="7">
      <c r="A7" s="3">
        <f>IF(B7&lt;&gt;"",IF(A7&lt;&gt;"",A7,NOW()),"")</f>
        <v>44992.45837835648</v>
      </c>
      <c r="B7" s="3" t="str">
        <v>A:Addition</v>
      </c>
      <c r="C7" s="3" t="str">
        <v>H:Hull</v>
      </c>
      <c r="D7" s="3">
        <f>D6+1</f>
        <v>180</v>
      </c>
      <c r="E7" s="3" t="str">
        <f>CONCAT("Q","/",LEFT(Table2[[#This Row],[Quotation Type]],1),"/", LEFT(Table2[[#This Row],[Branch]],1),"/", RIGHT(YEAR(TODAY()),2), "/",Table2[[#This Row],[Seq. Number]])</f>
        <v>Q/A/H/26/180</v>
      </c>
      <c r="F7" s="3" t="str">
        <v>Bernard Shipping</v>
      </c>
      <c r="G7" s="3" t="str">
        <v>Prince Zafer</v>
      </c>
      <c r="H7" s="3">
        <v>7916997</v>
      </c>
      <c r="I7" s="3" t="str">
        <v>GC</v>
      </c>
      <c r="J7" s="3" t="str">
        <v>Direct</v>
      </c>
    </row>
    <row r="8">
      <c r="A8" s="3">
        <f>IF(B8&lt;&gt;"",IF(A8&lt;&gt;"",A8,NOW()),"")</f>
        <v>44992.45936793982</v>
      </c>
      <c r="B8" s="3" t="str">
        <v>A:Addition</v>
      </c>
      <c r="C8" s="3" t="str">
        <v>H:Hull</v>
      </c>
      <c r="D8" s="3">
        <f>D7+1</f>
        <v>181</v>
      </c>
      <c r="E8" s="3" t="str">
        <f>CONCAT("Q","/",LEFT(Table2[[#This Row],[Quotation Type]],1),"/", LEFT(Table2[[#This Row],[Branch]],1),"/", RIGHT(YEAR(TODAY()),2), "/",Table2[[#This Row],[Seq. Number]])</f>
        <v>Q/A/H/26/181</v>
      </c>
      <c r="F8" s="3" t="str">
        <v>Bernard Shipping</v>
      </c>
      <c r="G8" s="3" t="str">
        <v>Hamid S</v>
      </c>
      <c r="H8" s="3">
        <v>8914099</v>
      </c>
      <c r="I8" s="3" t="str">
        <v>GC</v>
      </c>
      <c r="J8" s="3" t="str">
        <v>Direct</v>
      </c>
    </row>
    <row r="9">
      <c r="A9" s="3">
        <f>IF(B9&lt;&gt;"",IF(A9&lt;&gt;"",A9,NOW()),"")</f>
        <v>44992.46046412037</v>
      </c>
      <c r="B9" s="3" t="str">
        <v>A:Addition</v>
      </c>
      <c r="C9" s="3" t="str">
        <v>H:Hull</v>
      </c>
      <c r="D9" s="3">
        <f>D8+1</f>
        <v>182</v>
      </c>
      <c r="E9" s="3" t="str">
        <f>CONCAT("Q","/",LEFT(Table2[[#This Row],[Quotation Type]],1),"/", LEFT(Table2[[#This Row],[Branch]],1),"/", RIGHT(YEAR(TODAY()),2), "/",Table2[[#This Row],[Seq. Number]])</f>
        <v>Q/A/H/26/182</v>
      </c>
      <c r="F9" s="3" t="str">
        <v>Bernard Shipping</v>
      </c>
      <c r="G9" s="3" t="str">
        <v>Hasan</v>
      </c>
      <c r="H9" s="3">
        <v>9016179</v>
      </c>
      <c r="I9" s="3" t="str">
        <v>GC</v>
      </c>
      <c r="J9" s="3" t="str">
        <v>Direct</v>
      </c>
    </row>
    <row r="10">
      <c r="A10" s="3">
        <f>IF(B10&lt;&gt;"",IF(A10&lt;&gt;"",A10,NOW()),"")</f>
        <v>44994.582880787035</v>
      </c>
      <c r="B10" s="3" t="str">
        <v>R:Renewal</v>
      </c>
      <c r="C10" s="3" t="str">
        <v>H:Hull</v>
      </c>
      <c r="D10" s="3">
        <f>D9+1</f>
        <v>183</v>
      </c>
      <c r="E10" s="3" t="str">
        <f>CONCAT("Q","/",LEFT(Table2[[#This Row],[Quotation Type]],1),"/", LEFT(Table2[[#This Row],[Branch]],1),"/", RIGHT(YEAR(TODAY()),2), "/",Table2[[#This Row],[Seq. Number]])</f>
        <v>Q/R/H/26/183</v>
      </c>
      <c r="F10" s="3" t="str">
        <v>MN Shipping</v>
      </c>
      <c r="G10" s="3" t="str">
        <v>MN Glory</v>
      </c>
      <c r="I10" s="3" t="str">
        <v>GC</v>
      </c>
      <c r="J10" s="3" t="str">
        <v>SSS</v>
      </c>
    </row>
    <row r="11">
      <c r="A11" s="3">
        <f>IF(B11&lt;&gt;"",IF(A11&lt;&gt;"",A11,NOW()),"")</f>
        <v>44994.58604050926</v>
      </c>
      <c r="B11" s="3" t="str">
        <v>R:Renewal</v>
      </c>
      <c r="C11" s="3" t="str">
        <v>P:P&amp;I</v>
      </c>
      <c r="D11" s="3">
        <f>D10+1</f>
        <v>184</v>
      </c>
      <c r="E11" s="3" t="str">
        <f>CONCAT("Q","/",LEFT(Table2[[#This Row],[Quotation Type]],1),"/", LEFT(Table2[[#This Row],[Branch]],1),"/", RIGHT(YEAR(TODAY()),2), "/",Table2[[#This Row],[Seq. Number]])</f>
        <v>Q/R/P/26/184</v>
      </c>
      <c r="F11" s="3" t="str">
        <v>Amira Shipping Co.</v>
      </c>
      <c r="G11" s="3" t="str">
        <v>Baron</v>
      </c>
      <c r="H11" s="3">
        <v>7352476</v>
      </c>
      <c r="I11" s="3" t="str">
        <v>GC</v>
      </c>
      <c r="J11" s="3" t="str">
        <v>Direct</v>
      </c>
    </row>
    <row r="12">
      <c r="A12" s="3">
        <f>IF(B12&lt;&gt;"",IF(A12&lt;&gt;"",A12,NOW()),"")</f>
        <v>44994.65403923611</v>
      </c>
      <c r="B12" s="3" t="str">
        <v>N:New Quotation</v>
      </c>
      <c r="C12" s="3" t="str">
        <v>H:Hull</v>
      </c>
      <c r="D12" s="3">
        <f>D11+1</f>
        <v>185</v>
      </c>
      <c r="E12" s="3" t="str">
        <f>CONCAT("Q","/",LEFT(Table2[[#This Row],[Quotation Type]],1),"/", LEFT(Table2[[#This Row],[Branch]],1),"/", RIGHT(YEAR(TODAY()),2), "/",Table2[[#This Row],[Seq. Number]])</f>
        <v>Q/N/H/26/185</v>
      </c>
      <c r="F12" s="3" t="str">
        <v>Access Marine Co.</v>
      </c>
      <c r="G12" s="3" t="str">
        <v>Jaguar</v>
      </c>
      <c r="H12" s="3">
        <v>7726990</v>
      </c>
      <c r="I12" s="3" t="str">
        <v>GC</v>
      </c>
      <c r="J12" s="3" t="str">
        <v>Mesco</v>
      </c>
    </row>
    <row r="13">
      <c r="A13" s="3">
        <v>44995</v>
      </c>
      <c r="B13" s="3" t="str">
        <v>N:New Quotation</v>
      </c>
      <c r="C13" s="3" t="str">
        <v>H:Hull</v>
      </c>
      <c r="D13" s="3">
        <f>D12+1</f>
        <v>186</v>
      </c>
      <c r="E13" s="3" t="str">
        <f>CONCAT("Q","/",LEFT(Table2[[#This Row],[Quotation Type]],1),"/", LEFT(Table2[[#This Row],[Branch]],1),"/", RIGHT(YEAR(TODAY()),2), "/",Table2[[#This Row],[Seq. Number]])</f>
        <v>Q/N/H/26/186</v>
      </c>
      <c r="G13" s="3" t="str">
        <v>Nooriana</v>
      </c>
      <c r="I13" s="3" t="str">
        <v>O/T</v>
      </c>
      <c r="J13" s="3" t="str">
        <v>IPIC</v>
      </c>
    </row>
    <row r="14">
      <c r="A14" s="3">
        <v>44995</v>
      </c>
      <c r="B14" s="3" t="str">
        <v>N:New Quotation</v>
      </c>
      <c r="C14" s="3" t="str">
        <v>H:Hull</v>
      </c>
      <c r="D14" s="3">
        <f>D13+1</f>
        <v>187</v>
      </c>
      <c r="E14" s="3" t="str">
        <f>CONCAT("Q","/",LEFT(Table2[[#This Row],[Quotation Type]],1),"/", LEFT(Table2[[#This Row],[Branch]],1),"/", RIGHT(YEAR(TODAY()),2), "/",Table2[[#This Row],[Seq. Number]])</f>
        <v>Q/N/H/26/187</v>
      </c>
      <c r="G14" s="3" t="str">
        <v>Loura B</v>
      </c>
      <c r="I14" s="3" t="str">
        <v>O/T</v>
      </c>
      <c r="J14" s="3" t="str">
        <v>SSS</v>
      </c>
    </row>
    <row r="15">
      <c r="A15" s="3">
        <v>44998</v>
      </c>
      <c r="B15" s="3" t="str">
        <v>N:New Quotation</v>
      </c>
      <c r="C15" s="3" t="str">
        <v>P:P&amp;I</v>
      </c>
      <c r="D15" s="3">
        <f>D14+1</f>
        <v>188</v>
      </c>
      <c r="E15" s="3" t="str">
        <f>CONCAT("Q","/",LEFT(Table2[[#This Row],[Quotation Type]],1),"/", LEFT(Table2[[#This Row],[Branch]],1),"/", RIGHT(YEAR(TODAY()),2), "/",Table2[[#This Row],[Seq. Number]])</f>
        <v>Q/N/P/26/188</v>
      </c>
      <c r="F15" s="3" t="str">
        <v>Victory Marine Services</v>
      </c>
      <c r="J15" s="3" t="str">
        <v>Mesco</v>
      </c>
    </row>
    <row r="16">
      <c r="A16" s="3">
        <v>44999</v>
      </c>
      <c r="B16" s="3" t="str">
        <v>N:New Quotation</v>
      </c>
      <c r="C16" s="3" t="str">
        <v>H:Hull</v>
      </c>
      <c r="D16" s="3">
        <f>D15+1</f>
        <v>189</v>
      </c>
      <c r="E16" s="3" t="str">
        <f>CONCAT("Q","/",LEFT(Table2[[#This Row],[Quotation Type]],1),"/", LEFT(Table2[[#This Row],[Branch]],1),"/", RIGHT(YEAR(TODAY()),2), "/",Table2[[#This Row],[Seq. Number]])</f>
        <v>Q/N/H/26/189</v>
      </c>
      <c r="F16" s="3" t="str">
        <v>Hydar Shipping</v>
      </c>
      <c r="G16" s="3" t="str">
        <v>Azza H/Helen H</v>
      </c>
      <c r="I16" s="3" t="str">
        <v>GC</v>
      </c>
      <c r="J16" s="3" t="str">
        <v>Deep Blue</v>
      </c>
    </row>
    <row r="17">
      <c r="A17" s="3">
        <v>44999</v>
      </c>
      <c r="B17" s="3" t="str">
        <v>N:New Quotation</v>
      </c>
      <c r="C17" s="3" t="str">
        <v>W:War</v>
      </c>
      <c r="D17" s="3">
        <f>D16+1</f>
        <v>190</v>
      </c>
      <c r="E17" s="3" t="str">
        <f>CONCAT("Q","/",LEFT(Table2[[#This Row],[Quotation Type]],1),"/", LEFT(Table2[[#This Row],[Branch]],1),"/", RIGHT(YEAR(TODAY()),2), "/",Table2[[#This Row],[Seq. Number]])</f>
        <v>Q/N/W/26/190</v>
      </c>
      <c r="F17" s="3" t="str">
        <v>Hydar Shipping</v>
      </c>
      <c r="G17" s="3" t="str">
        <v>Azza H/Helen H</v>
      </c>
      <c r="I17" s="3" t="str">
        <v>GC</v>
      </c>
      <c r="J17" s="3" t="str">
        <v>Deep Blue</v>
      </c>
    </row>
    <row r="18">
      <c r="A18" s="3">
        <v>44999</v>
      </c>
      <c r="B18" s="3" t="str">
        <v>R:Renewal</v>
      </c>
      <c r="C18" s="3" t="str">
        <v>H:Hull</v>
      </c>
      <c r="D18" s="3">
        <f>D17+1</f>
        <v>191</v>
      </c>
      <c r="E18" s="3" t="str">
        <f>CONCAT("Q","/",LEFT(Table2[[#This Row],[Quotation Type]],1),"/", LEFT(Table2[[#This Row],[Branch]],1),"/", RIGHT(YEAR(TODAY()),2), "/",Table2[[#This Row],[Seq. Number]])</f>
        <v>Q/R/H/26/191</v>
      </c>
      <c r="F18" s="3" t="str">
        <v>Sesaco</v>
      </c>
      <c r="G18" s="3" t="str">
        <v>FK Hatice</v>
      </c>
      <c r="J18" s="3" t="str">
        <v>Direct</v>
      </c>
    </row>
    <row r="19">
      <c r="A19" s="3">
        <v>44999</v>
      </c>
      <c r="B19" s="3" t="str">
        <v>R:Renewal</v>
      </c>
      <c r="C19" s="3" t="str">
        <v>W:War</v>
      </c>
      <c r="D19" s="3">
        <f>D18+1</f>
        <v>192</v>
      </c>
      <c r="E19" s="3" t="str">
        <f>CONCAT("Q","/",LEFT(Table2[[#This Row],[Quotation Type]],1),"/", LEFT(Table2[[#This Row],[Branch]],1),"/", RIGHT(YEAR(TODAY()),2), "/",Table2[[#This Row],[Seq. Number]])</f>
        <v>Q/R/W/26/192</v>
      </c>
      <c r="F19" s="3" t="str">
        <v>Sesaco</v>
      </c>
      <c r="G19" s="3" t="str">
        <v>FK Hatice</v>
      </c>
      <c r="J19" s="3" t="str">
        <v>Direct</v>
      </c>
    </row>
    <row r="20">
      <c r="A20" s="3">
        <v>44999</v>
      </c>
      <c r="B20" s="3" t="str">
        <v>R:Renewal</v>
      </c>
      <c r="C20" s="3" t="str">
        <v>H:Hull</v>
      </c>
      <c r="D20" s="3">
        <f>D19+1</f>
        <v>193</v>
      </c>
      <c r="E20" s="3" t="str">
        <f>CONCAT("Q","/",LEFT(Table2[[#This Row],[Quotation Type]],1),"/", LEFT(Table2[[#This Row],[Branch]],1),"/", RIGHT(YEAR(TODAY()),2), "/",Table2[[#This Row],[Seq. Number]])</f>
        <v>Q/R/H/26/193</v>
      </c>
      <c r="F20" s="3" t="str">
        <v>Sesaco</v>
      </c>
      <c r="G20" s="3" t="str">
        <v>FK Sila</v>
      </c>
      <c r="J20" s="3" t="str">
        <v>Direct</v>
      </c>
    </row>
    <row r="21">
      <c r="A21" s="3">
        <v>44999</v>
      </c>
      <c r="B21" s="3" t="str">
        <v>R:Renewal</v>
      </c>
      <c r="C21" s="3" t="str">
        <v>W:War</v>
      </c>
      <c r="D21" s="3">
        <f>D20+1</f>
        <v>194</v>
      </c>
      <c r="E21" s="3" t="str">
        <f>CONCAT("Q","/",LEFT(Table2[[#This Row],[Quotation Type]],1),"/", LEFT(Table2[[#This Row],[Branch]],1),"/", RIGHT(YEAR(TODAY()),2), "/",Table2[[#This Row],[Seq. Number]])</f>
        <v>Q/R/W/26/194</v>
      </c>
      <c r="F21" s="3" t="str">
        <v>Sesaco</v>
      </c>
      <c r="G21" s="3" t="str">
        <v>FK Sila</v>
      </c>
      <c r="J21" s="3" t="str">
        <v>Direct</v>
      </c>
    </row>
    <row r="22">
      <c r="A22" s="3">
        <v>44999</v>
      </c>
      <c r="B22" s="3" t="str">
        <v>R:Renewal</v>
      </c>
      <c r="C22" s="3" t="str">
        <v>H:Hull</v>
      </c>
      <c r="D22" s="3">
        <f>D21+1</f>
        <v>195</v>
      </c>
      <c r="E22" s="3" t="str">
        <f>CONCAT("Q","/",LEFT(Table2[[#This Row],[Quotation Type]],1),"/", LEFT(Table2[[#This Row],[Branch]],1),"/", RIGHT(YEAR(TODAY()),2), "/",Table2[[#This Row],[Seq. Number]])</f>
        <v>Q/R/H/26/195</v>
      </c>
      <c r="F22" s="3" t="str">
        <v>Lightship Management</v>
      </c>
      <c r="G22" s="3" t="str">
        <v>Ullswater</v>
      </c>
      <c r="J22" s="3" t="str">
        <v>Kominsur</v>
      </c>
    </row>
    <row r="23">
      <c r="A23" s="3">
        <v>44999</v>
      </c>
      <c r="B23" s="3" t="str">
        <v>R:Renewal</v>
      </c>
      <c r="C23" s="3" t="str">
        <v>W:War</v>
      </c>
      <c r="D23" s="3">
        <f>D22+1</f>
        <v>196</v>
      </c>
      <c r="E23" s="3" t="str">
        <f>CONCAT("Q","/",LEFT(Table2[[#This Row],[Quotation Type]],1),"/", LEFT(Table2[[#This Row],[Branch]],1),"/", RIGHT(YEAR(TODAY()),2), "/",Table2[[#This Row],[Seq. Number]])</f>
        <v>Q/R/W/26/196</v>
      </c>
      <c r="F23" s="3" t="str">
        <v>Lightship Management</v>
      </c>
      <c r="G23" s="3" t="str">
        <v>Ullswater</v>
      </c>
      <c r="J23" s="3" t="str">
        <v>Kominsur</v>
      </c>
    </row>
    <row r="24">
      <c r="A24" s="3">
        <v>45000</v>
      </c>
      <c r="B24" s="3" t="str">
        <v>N:New Quotation</v>
      </c>
      <c r="C24" s="3" t="str">
        <v>H:Hull</v>
      </c>
      <c r="D24" s="3">
        <f>D23+1</f>
        <v>197</v>
      </c>
      <c r="E24" s="3" t="str">
        <f>CONCAT("Q","/",LEFT(Table2[[#This Row],[Quotation Type]],1),"/", LEFT(Table2[[#This Row],[Branch]],1),"/", RIGHT(YEAR(TODAY()),2), "/",Table2[[#This Row],[Seq. Number]])</f>
        <v>Q/N/H/26/197</v>
      </c>
      <c r="F24" s="3" t="str">
        <v>Verital Marine Services LLC</v>
      </c>
      <c r="G24" s="3" t="str">
        <v>Costana H</v>
      </c>
      <c r="H24" s="3">
        <v>9321457</v>
      </c>
      <c r="I24" s="3" t="str">
        <v>O/T</v>
      </c>
      <c r="J24" s="3" t="str">
        <v>Kominsur</v>
      </c>
    </row>
    <row r="25">
      <c r="A25" s="3">
        <v>45000</v>
      </c>
      <c r="B25" s="3" t="str">
        <v>R:Renewal</v>
      </c>
      <c r="C25" s="3" t="str">
        <v>H:Hull</v>
      </c>
      <c r="D25" s="3">
        <f>D24+1</f>
        <v>198</v>
      </c>
      <c r="E25" s="3" t="str">
        <f>CONCAT("Q","/",LEFT(Table2[[#This Row],[Quotation Type]],1),"/", LEFT(Table2[[#This Row],[Branch]],1),"/", RIGHT(YEAR(TODAY()),2), "/",Table2[[#This Row],[Seq. Number]])</f>
        <v>Q/R/H/26/198</v>
      </c>
      <c r="F25" s="3" t="str">
        <v>Oldstone Holdings</v>
      </c>
      <c r="G25" s="3" t="str">
        <v>Hiroki/OS Kano 35</v>
      </c>
      <c r="I25" s="3" t="str">
        <v>BC</v>
      </c>
      <c r="J25" s="3" t="str">
        <v>Sarnia</v>
      </c>
    </row>
    <row r="26">
      <c r="A26" s="3">
        <v>45000</v>
      </c>
      <c r="B26" s="3" t="str">
        <v>R:Renewal</v>
      </c>
      <c r="C26" s="3" t="str">
        <v>W:War</v>
      </c>
      <c r="D26" s="3">
        <f>D25+1</f>
        <v>199</v>
      </c>
      <c r="E26" s="3" t="str">
        <f>CONCAT("Q","/",LEFT(Table2[[#This Row],[Quotation Type]],1),"/", LEFT(Table2[[#This Row],[Branch]],1),"/", RIGHT(YEAR(TODAY()),2), "/",Table2[[#This Row],[Seq. Number]])</f>
        <v>Q/R/W/26/199</v>
      </c>
      <c r="F26" s="3" t="str">
        <v>Oldstone Holdings</v>
      </c>
      <c r="G26" s="3" t="str">
        <v>Hiroki/OS Kano 35</v>
      </c>
      <c r="I26" s="3" t="str">
        <v>BC</v>
      </c>
      <c r="J26" s="3" t="str">
        <v>Sarnia</v>
      </c>
    </row>
    <row r="27">
      <c r="A27" s="3">
        <v>45000</v>
      </c>
      <c r="B27" s="3" t="str">
        <v>N:New Quotation</v>
      </c>
      <c r="C27" s="3" t="str">
        <v>H:Hull</v>
      </c>
      <c r="D27" s="3">
        <f>D26+1</f>
        <v>200</v>
      </c>
      <c r="E27" s="3" t="str">
        <f>CONCAT("Q","/",LEFT(Table2[[#This Row],[Quotation Type]],1),"/", LEFT(Table2[[#This Row],[Branch]],1),"/", RIGHT(YEAR(TODAY()),2), "/",Table2[[#This Row],[Seq. Number]])</f>
        <v>Q/N/H/26/200</v>
      </c>
      <c r="F27" s="3" t="str">
        <v>HK Shipping Ltd.</v>
      </c>
      <c r="G27" s="3" t="str">
        <v>Project A</v>
      </c>
      <c r="H27" s="3">
        <v>9170913</v>
      </c>
      <c r="I27" s="3" t="str">
        <v>GC</v>
      </c>
      <c r="J27" s="3" t="str">
        <v>IPIC</v>
      </c>
    </row>
    <row r="28">
      <c r="A28" s="3">
        <v>45002</v>
      </c>
      <c r="B28" s="3" t="str">
        <v>N:New Quotation</v>
      </c>
      <c r="C28" s="3" t="str">
        <v>H:Hull</v>
      </c>
      <c r="D28" s="3">
        <f>D27+1</f>
        <v>201</v>
      </c>
      <c r="E28" s="3" t="str">
        <f>CONCAT("Q","/",LEFT(Table2[[#This Row],[Quotation Type]],1),"/", LEFT(Table2[[#This Row],[Branch]],1),"/", RIGHT(YEAR(TODAY()),2), "/",Table2[[#This Row],[Seq. Number]])</f>
        <v>Q/N/H/26/201</v>
      </c>
      <c r="F28" s="3" t="str">
        <v>Maria S Shipping Ltd.</v>
      </c>
      <c r="G28" s="3" t="str">
        <v>Joy M</v>
      </c>
      <c r="I28" s="3" t="str">
        <v>GC</v>
      </c>
      <c r="J28" s="3" t="str">
        <v>GMS</v>
      </c>
    </row>
    <row r="29">
      <c r="A29" s="3">
        <v>45002</v>
      </c>
      <c r="B29" s="3" t="str">
        <v>N:New Quotation</v>
      </c>
      <c r="C29" s="3" t="str">
        <v>P:P&amp;I</v>
      </c>
      <c r="D29" s="3">
        <f>D28+1</f>
        <v>202</v>
      </c>
      <c r="E29" s="3" t="str">
        <f>CONCAT("Q","/",LEFT(Table2[[#This Row],[Quotation Type]],1),"/", LEFT(Table2[[#This Row],[Branch]],1),"/", RIGHT(YEAR(TODAY()),2), "/",Table2[[#This Row],[Seq. Number]])</f>
        <v>Q/N/P/26/202</v>
      </c>
      <c r="F29" s="3" t="str">
        <v>Maria S Shipping Ltd.</v>
      </c>
      <c r="G29" s="3" t="str">
        <v>Joy M</v>
      </c>
      <c r="I29" s="3" t="str">
        <v>GC</v>
      </c>
      <c r="J29" s="3" t="str">
        <v>GMS</v>
      </c>
    </row>
    <row r="30">
      <c r="A30" s="3">
        <v>45002</v>
      </c>
      <c r="B30" s="3" t="str">
        <v>R:Renewal</v>
      </c>
      <c r="C30" s="3" t="str">
        <v>H:Hull</v>
      </c>
      <c r="D30" s="3">
        <f>D29+1</f>
        <v>203</v>
      </c>
      <c r="E30" s="3" t="str">
        <f>CONCAT("Q","/",LEFT(Table2[[#This Row],[Quotation Type]],1),"/", LEFT(Table2[[#This Row],[Branch]],1),"/", RIGHT(YEAR(TODAY()),2), "/",Table2[[#This Row],[Seq. Number]])</f>
        <v>Q/R/H/26/203</v>
      </c>
      <c r="F30" s="3" t="str">
        <v>ATH Trading SL</v>
      </c>
      <c r="G30" s="3" t="str">
        <v>ATH Lemba</v>
      </c>
      <c r="I30" s="3" t="str">
        <v>O/T</v>
      </c>
      <c r="J30" s="3" t="str">
        <v>City</v>
      </c>
    </row>
    <row r="31">
      <c r="A31" s="3">
        <v>45002</v>
      </c>
      <c r="B31" s="3" t="str">
        <v>N:New Quotation</v>
      </c>
      <c r="C31" s="3" t="str">
        <v>V:Voyage</v>
      </c>
      <c r="D31" s="3">
        <f>D30+1</f>
        <v>204</v>
      </c>
      <c r="E31" s="3" t="str">
        <f>CONCAT("Q","/",LEFT(Table2[[#This Row],[Quotation Type]],1),"/", LEFT(Table2[[#This Row],[Branch]],1),"/", RIGHT(YEAR(TODAY()),2), "/",Table2[[#This Row],[Seq. Number]])</f>
        <v>Q/N/V/26/204</v>
      </c>
      <c r="F31" s="3" t="str">
        <v>Navigatorline</v>
      </c>
      <c r="G31" s="3" t="str">
        <v>Fraih 3</v>
      </c>
      <c r="I31" s="3" t="str">
        <v>GC</v>
      </c>
      <c r="J31" s="3" t="str">
        <v>IPIC</v>
      </c>
    </row>
    <row r="32">
      <c r="A32" s="3">
        <v>45008</v>
      </c>
      <c r="B32" s="3" t="str">
        <v>N:New Quotation</v>
      </c>
      <c r="C32" s="3" t="str">
        <v>P:P&amp;I</v>
      </c>
      <c r="D32" s="3">
        <f>D31+1</f>
        <v>205</v>
      </c>
      <c r="E32" s="3" t="str">
        <f>CONCAT("Q","/",LEFT(Table2[[#This Row],[Quotation Type]],1),"/", LEFT(Table2[[#This Row],[Branch]],1),"/", RIGHT(YEAR(TODAY()),2), "/",Table2[[#This Row],[Seq. Number]])</f>
        <v>Q/N/P/26/205</v>
      </c>
      <c r="F32" s="3" t="str">
        <v>MTR Management</v>
      </c>
      <c r="G32" s="3" t="str">
        <v>Queen Eliza</v>
      </c>
      <c r="H32" s="3">
        <v>9232307</v>
      </c>
      <c r="I32" s="3" t="str">
        <v>GC</v>
      </c>
      <c r="J32" s="3" t="str">
        <v>Direct</v>
      </c>
    </row>
    <row r="33">
      <c r="A33" s="3">
        <v>45012</v>
      </c>
      <c r="B33" s="3" t="str">
        <v>N:New Quotation</v>
      </c>
      <c r="C33" s="3" t="str">
        <v>V:Voyage</v>
      </c>
      <c r="D33" s="3">
        <f>D32+1</f>
        <v>206</v>
      </c>
      <c r="E33" s="3" t="str">
        <f>CONCAT("Q","/",LEFT(Table2[[#This Row],[Quotation Type]],1),"/", LEFT(Table2[[#This Row],[Branch]],1),"/", RIGHT(YEAR(TODAY()),2), "/",Table2[[#This Row],[Seq. Number]])</f>
        <v>Q/N/V/26/206</v>
      </c>
      <c r="F33" s="3" t="str">
        <v>Huta</v>
      </c>
      <c r="G33" s="3" t="str">
        <v>Huta 16</v>
      </c>
      <c r="H33" s="3">
        <v>8639651</v>
      </c>
      <c r="I33" s="3" t="str">
        <v>Dredger</v>
      </c>
      <c r="J33" s="3" t="str">
        <v>Mesco</v>
      </c>
    </row>
    <row r="34">
      <c r="A34" s="3">
        <v>45012</v>
      </c>
      <c r="B34" s="3" t="str">
        <v>N:New Quotation</v>
      </c>
      <c r="C34" s="3" t="str">
        <v>V:Voyage</v>
      </c>
      <c r="D34" s="3">
        <f>D33+1</f>
        <v>207</v>
      </c>
      <c r="E34" s="3" t="str">
        <f>CONCAT("Q","/",LEFT(Table2[[#This Row],[Quotation Type]],1),"/", LEFT(Table2[[#This Row],[Branch]],1),"/", RIGHT(YEAR(TODAY()),2), "/",Table2[[#This Row],[Seq. Number]])</f>
        <v>Q/N/V/26/207</v>
      </c>
      <c r="F34" s="3" t="str">
        <v>Huta</v>
      </c>
      <c r="G34" s="3" t="str">
        <v>Huta 707</v>
      </c>
      <c r="H34" s="3">
        <v>9565508</v>
      </c>
      <c r="I34" s="3" t="str">
        <v>Tug</v>
      </c>
      <c r="J34" s="3" t="str">
        <v>Mesco</v>
      </c>
    </row>
    <row r="35">
      <c r="A35" s="3">
        <v>45012</v>
      </c>
      <c r="B35" s="3" t="str">
        <v>R:Renewal</v>
      </c>
      <c r="C35" s="3" t="str">
        <v>H:Hull</v>
      </c>
      <c r="D35" s="3">
        <f>D34+1</f>
        <v>208</v>
      </c>
      <c r="E35" s="3" t="str">
        <f>CONCAT("Q","/",LEFT(Table2[[#This Row],[Quotation Type]],1),"/", LEFT(Table2[[#This Row],[Branch]],1),"/", RIGHT(YEAR(TODAY()),2), "/",Table2[[#This Row],[Seq. Number]])</f>
        <v>Q/R/H/26/208</v>
      </c>
      <c r="F35" s="3" t="str">
        <v>Maritime Register</v>
      </c>
      <c r="G35" s="3" t="str">
        <v>Banyas 1</v>
      </c>
      <c r="H35" s="3">
        <v>7615036</v>
      </c>
      <c r="I35" s="3" t="str">
        <v>MLV</v>
      </c>
      <c r="J35" s="3" t="str">
        <v>Mesco</v>
      </c>
    </row>
    <row r="36">
      <c r="A36" s="3">
        <v>45012</v>
      </c>
      <c r="B36" s="3" t="str">
        <v>R:Renewal</v>
      </c>
      <c r="C36" s="3" t="str">
        <v>P:P&amp;I</v>
      </c>
      <c r="D36" s="3">
        <f>D35+1</f>
        <v>209</v>
      </c>
      <c r="E36" s="3" t="str">
        <f>CONCAT("Q","/",LEFT(Table2[[#This Row],[Quotation Type]],1),"/", LEFT(Table2[[#This Row],[Branch]],1),"/", RIGHT(YEAR(TODAY()),2), "/",Table2[[#This Row],[Seq. Number]])</f>
        <v>Q/R/P/26/209</v>
      </c>
      <c r="F36" s="3" t="str">
        <v>Maritime Register</v>
      </c>
      <c r="G36" s="3" t="str">
        <v>Banyas 1</v>
      </c>
      <c r="H36" s="3">
        <v>7615036</v>
      </c>
      <c r="I36" s="3" t="str">
        <v>MLV</v>
      </c>
      <c r="J36" s="3" t="str">
        <v>Mesco</v>
      </c>
    </row>
    <row r="37">
      <c r="A37" s="3">
        <v>45013</v>
      </c>
      <c r="B37" s="3" t="str">
        <v>R:Renewal</v>
      </c>
      <c r="C37" s="3" t="str">
        <v>H:Hull</v>
      </c>
      <c r="D37" s="3">
        <f>D36+1</f>
        <v>210</v>
      </c>
      <c r="E37" s="3" t="str">
        <f>CONCAT("Q","/",LEFT(Table2[[#This Row],[Quotation Type]],1),"/", LEFT(Table2[[#This Row],[Branch]],1),"/", RIGHT(YEAR(TODAY()),2), "/",Table2[[#This Row],[Seq. Number]])</f>
        <v>Q/R/H/26/210</v>
      </c>
      <c r="F37" s="3" t="str">
        <v>Morgan Navigation</v>
      </c>
      <c r="G37" s="3" t="str">
        <v>Hajh Amina</v>
      </c>
      <c r="I37" s="3" t="str">
        <v>MLV</v>
      </c>
      <c r="J37" s="3" t="str">
        <v>Alfamarine</v>
      </c>
    </row>
    <row r="38">
      <c r="A38" s="3">
        <v>45013</v>
      </c>
      <c r="B38" s="3" t="str">
        <v>R:Renewal</v>
      </c>
      <c r="C38" s="3" t="str">
        <v>P:P&amp;I</v>
      </c>
      <c r="D38" s="3">
        <f>D37+1</f>
        <v>211</v>
      </c>
      <c r="E38" s="3" t="str">
        <f>CONCAT("Q","/",LEFT(Table2[[#This Row],[Quotation Type]],1),"/", LEFT(Table2[[#This Row],[Branch]],1),"/", RIGHT(YEAR(TODAY()),2), "/",Table2[[#This Row],[Seq. Number]])</f>
        <v>Q/R/P/26/211</v>
      </c>
      <c r="F38" s="3" t="str">
        <v>Morgan Navigation</v>
      </c>
      <c r="G38" s="3" t="str">
        <v>Hajh Amina</v>
      </c>
      <c r="I38" s="3" t="str">
        <v>MLV</v>
      </c>
      <c r="J38" s="3" t="str">
        <v>Alfamarine</v>
      </c>
    </row>
    <row r="39">
      <c r="A39" s="3">
        <v>45013</v>
      </c>
      <c r="B39" s="3" t="str">
        <v>R:Renewal</v>
      </c>
      <c r="C39" s="3" t="str">
        <v>P:P&amp;I</v>
      </c>
      <c r="D39" s="3">
        <f>D38+1</f>
        <v>212</v>
      </c>
      <c r="E39" s="3" t="str">
        <f>CONCAT("Q","/",LEFT(Table2[[#This Row],[Quotation Type]],1),"/", LEFT(Table2[[#This Row],[Branch]],1),"/", RIGHT(YEAR(TODAY()),2), "/",Table2[[#This Row],[Seq. Number]])</f>
        <v>Q/R/P/26/212</v>
      </c>
      <c r="F39" s="3" t="str">
        <v>Sea Dream Shipping</v>
      </c>
      <c r="G39" s="3" t="str">
        <v>Alkareem</v>
      </c>
      <c r="I39" s="3" t="str">
        <v>GC</v>
      </c>
      <c r="J39" s="3" t="str">
        <v>Alfamarine</v>
      </c>
    </row>
    <row r="40">
      <c r="A40" s="3">
        <v>45015</v>
      </c>
      <c r="B40" s="3" t="str">
        <v>N:New Quotation</v>
      </c>
      <c r="C40" s="3" t="str">
        <v>P:P&amp;I</v>
      </c>
      <c r="D40" s="3">
        <f>D39+1</f>
        <v>213</v>
      </c>
      <c r="E40" s="3" t="str">
        <f>CONCAT("Q","/",LEFT(Table2[[#This Row],[Quotation Type]],1),"/", LEFT(Table2[[#This Row],[Branch]],1),"/", RIGHT(YEAR(TODAY()),2), "/",Table2[[#This Row],[Seq. Number]])</f>
        <v>Q/N/P/26/213</v>
      </c>
      <c r="G40" s="3" t="str">
        <v>Yuan Da No.9</v>
      </c>
      <c r="H40" s="3">
        <v>8916231</v>
      </c>
      <c r="I40" s="3" t="str">
        <v>GC</v>
      </c>
      <c r="J40" s="3" t="str">
        <v>Direct</v>
      </c>
    </row>
    <row r="41">
      <c r="A41" s="3">
        <v>45019</v>
      </c>
      <c r="B41" s="3" t="str">
        <v>N:New Quotation</v>
      </c>
      <c r="C41" s="3" t="str">
        <v>P:P&amp;I</v>
      </c>
      <c r="D41" s="3">
        <f>D40+1</f>
        <v>214</v>
      </c>
      <c r="E41" s="3" t="str">
        <f>CONCAT("Q","/",LEFT(Table2[[#This Row],[Quotation Type]],1),"/", LEFT(Table2[[#This Row],[Branch]],1),"/", RIGHT(YEAR(TODAY()),2), "/",Table2[[#This Row],[Seq. Number]])</f>
        <v>Q/N/P/26/214</v>
      </c>
      <c r="F41" s="3" t="str">
        <v>GMZ Shipmanagement</v>
      </c>
      <c r="G41" s="3" t="str">
        <v>Uranus</v>
      </c>
      <c r="I41" s="3" t="str">
        <v>GC</v>
      </c>
      <c r="J41" s="3" t="str">
        <v>Shady Saab</v>
      </c>
    </row>
    <row r="42">
      <c r="A42" s="3">
        <v>45020</v>
      </c>
      <c r="B42" s="3" t="str">
        <v>R:Renewal</v>
      </c>
      <c r="C42" s="3" t="str">
        <v>P:P&amp;I</v>
      </c>
      <c r="D42" s="3">
        <f>D41+1</f>
        <v>215</v>
      </c>
      <c r="E42" s="3" t="str">
        <f>CONCAT("Q","/",LEFT(Table2[[#This Row],[Quotation Type]],1),"/", LEFT(Table2[[#This Row],[Branch]],1),"/", RIGHT(YEAR(TODAY()),2), "/",Table2[[#This Row],[Seq. Number]])</f>
        <v>Q/R/P/26/215</v>
      </c>
      <c r="F42" s="3" t="str">
        <v>Princess Hiyam Shipping</v>
      </c>
      <c r="G42" s="3" t="str">
        <v>Princess Hiyam</v>
      </c>
      <c r="I42" s="3" t="str">
        <v>MLV</v>
      </c>
      <c r="J42" s="3" t="str">
        <v>Sarnia</v>
      </c>
    </row>
    <row r="43">
      <c r="A43" s="3">
        <v>45020</v>
      </c>
      <c r="B43" s="3" t="str">
        <v>R:Renewal</v>
      </c>
      <c r="C43" s="3" t="str">
        <v>W:War</v>
      </c>
      <c r="D43" s="3">
        <f>D42+1</f>
        <v>216</v>
      </c>
      <c r="E43" s="3" t="str">
        <f>CONCAT("Q","/",LEFT(Table2[[#This Row],[Quotation Type]],1),"/", LEFT(Table2[[#This Row],[Branch]],1),"/", RIGHT(YEAR(TODAY()),2), "/",Table2[[#This Row],[Seq. Number]])</f>
        <v>Q/R/W/26/216</v>
      </c>
      <c r="F43" s="3" t="str">
        <v>Princess Hiyam Shipping</v>
      </c>
      <c r="G43" s="3" t="str">
        <v>Princess Hiyam</v>
      </c>
      <c r="I43" s="3" t="str">
        <v>MLV</v>
      </c>
      <c r="J43" s="3" t="str">
        <v>Sarnia</v>
      </c>
    </row>
    <row r="44">
      <c r="A44" s="3">
        <v>45020</v>
      </c>
      <c r="B44" s="3" t="str">
        <v>R:Renewal</v>
      </c>
      <c r="C44" s="3" t="str">
        <v>P:P&amp;I</v>
      </c>
      <c r="D44" s="3">
        <f>D43+1</f>
        <v>217</v>
      </c>
      <c r="E44" s="3" t="str">
        <f>CONCAT("Q","/",LEFT(Table2[[#This Row],[Quotation Type]],1),"/", LEFT(Table2[[#This Row],[Branch]],1),"/", RIGHT(YEAR(TODAY()),2), "/",Table2[[#This Row],[Seq. Number]])</f>
        <v>Q/R/P/26/217</v>
      </c>
      <c r="F44" s="3" t="str">
        <v>Gulf Coast Shipping</v>
      </c>
      <c r="G44" s="3" t="str">
        <v>Adel II</v>
      </c>
      <c r="I44" s="3" t="str">
        <v>MLV</v>
      </c>
      <c r="J44" s="3" t="str">
        <v>Direct</v>
      </c>
    </row>
    <row r="45">
      <c r="A45" s="3">
        <v>45020</v>
      </c>
      <c r="B45" s="3" t="str">
        <v>R:Renewal</v>
      </c>
      <c r="C45" s="3" t="str">
        <v>H:Hull</v>
      </c>
      <c r="D45" s="3">
        <f>D44+1</f>
        <v>218</v>
      </c>
      <c r="E45" s="3" t="str">
        <f>CONCAT("Q","/",LEFT(Table2[[#This Row],[Quotation Type]],1),"/", LEFT(Table2[[#This Row],[Branch]],1),"/", RIGHT(YEAR(TODAY()),2), "/",Table2[[#This Row],[Seq. Number]])</f>
        <v>Q/R/H/26/218</v>
      </c>
      <c r="F45" s="3" t="str">
        <v>Seamiles Marine</v>
      </c>
      <c r="G45" s="3" t="str">
        <v>Green Ocean</v>
      </c>
      <c r="I45" s="3" t="str">
        <v>GC</v>
      </c>
      <c r="J45" s="3" t="str">
        <v>City</v>
      </c>
    </row>
    <row r="46">
      <c r="A46" s="3">
        <v>45020</v>
      </c>
      <c r="B46" s="3" t="str">
        <v>R:Renewal</v>
      </c>
      <c r="C46" s="3" t="str">
        <v>H:Hull</v>
      </c>
      <c r="D46" s="3">
        <f>D45+1</f>
        <v>219</v>
      </c>
      <c r="E46" s="3" t="str">
        <f>CONCAT("Q","/",LEFT(Table2[[#This Row],[Quotation Type]],1),"/", LEFT(Table2[[#This Row],[Branch]],1),"/", RIGHT(YEAR(TODAY()),2), "/",Table2[[#This Row],[Seq. Number]])</f>
        <v>Q/R/H/26/219</v>
      </c>
      <c r="F46" s="3" t="str">
        <v>United Shipping and Petroleum</v>
      </c>
      <c r="G46" s="3" t="str">
        <v>Maddox</v>
      </c>
      <c r="H46" s="3">
        <v>8908844</v>
      </c>
      <c r="I46" s="3" t="str">
        <v>BC</v>
      </c>
      <c r="J46" s="3" t="str">
        <v>Direct</v>
      </c>
    </row>
    <row r="47">
      <c r="A47" s="3">
        <v>45020</v>
      </c>
      <c r="B47" s="3" t="str">
        <v>R:Renewal</v>
      </c>
      <c r="C47" s="3" t="str">
        <v>W:War</v>
      </c>
      <c r="D47" s="3">
        <f>D46+1</f>
        <v>220</v>
      </c>
      <c r="E47" s="3" t="str">
        <f>CONCAT("Q","/",LEFT(Table2[[#This Row],[Quotation Type]],1),"/", LEFT(Table2[[#This Row],[Branch]],1),"/", RIGHT(YEAR(TODAY()),2), "/",Table2[[#This Row],[Seq. Number]])</f>
        <v>Q/R/W/26/220</v>
      </c>
      <c r="F47" s="3" t="str">
        <v>United Shipping and Petroleum</v>
      </c>
      <c r="G47" s="3" t="str">
        <v>Maddox</v>
      </c>
      <c r="H47" s="3">
        <v>8908844</v>
      </c>
      <c r="I47" s="3" t="str">
        <v>BC</v>
      </c>
      <c r="J47" s="3" t="str">
        <v>Direct</v>
      </c>
    </row>
    <row r="48">
      <c r="A48" s="3">
        <v>45020</v>
      </c>
      <c r="B48" s="3" t="str">
        <v>R:Renewal</v>
      </c>
      <c r="C48" s="3" t="str">
        <v>P:P&amp;I</v>
      </c>
      <c r="D48" s="3">
        <f>D47+1</f>
        <v>221</v>
      </c>
      <c r="E48" s="3" t="str">
        <f>CONCAT("Q","/",LEFT(Table2[[#This Row],[Quotation Type]],1),"/", LEFT(Table2[[#This Row],[Branch]],1),"/", RIGHT(YEAR(TODAY()),2), "/",Table2[[#This Row],[Seq. Number]])</f>
        <v>Q/R/P/26/221</v>
      </c>
      <c r="F48" s="3" t="str">
        <v>Elbeco</v>
      </c>
      <c r="G48" s="3" t="str">
        <v>Queensland</v>
      </c>
      <c r="I48" s="3" t="str">
        <v>MLV</v>
      </c>
      <c r="J48" s="3" t="str">
        <v>Direct</v>
      </c>
    </row>
    <row r="49">
      <c r="A49" s="3">
        <v>45021</v>
      </c>
      <c r="B49" s="3" t="str">
        <v>R:Renewal</v>
      </c>
      <c r="C49" s="3" t="str">
        <v>H:Hull</v>
      </c>
      <c r="D49" s="3">
        <f>D48+1</f>
        <v>222</v>
      </c>
      <c r="E49" s="3" t="str">
        <f>CONCAT("Q","/",LEFT(Table2[[#This Row],[Quotation Type]],1),"/", LEFT(Table2[[#This Row],[Branch]],1),"/", RIGHT(YEAR(TODAY()),2), "/",Table2[[#This Row],[Seq. Number]])</f>
        <v>Q/R/H/26/222</v>
      </c>
      <c r="F49" s="3" t="str">
        <v>El Reedy Shipping</v>
      </c>
      <c r="J49" s="3" t="str">
        <v>Sarnia</v>
      </c>
    </row>
    <row r="50">
      <c r="A50" s="3">
        <v>45021</v>
      </c>
      <c r="B50" s="3" t="str">
        <v>R:Renewal</v>
      </c>
      <c r="C50" s="3" t="str">
        <v>W:War</v>
      </c>
      <c r="D50" s="3">
        <f>D49+1</f>
        <v>223</v>
      </c>
      <c r="E50" s="3" t="str">
        <f>CONCAT("Q","/",LEFT(Table2[[#This Row],[Quotation Type]],1),"/", LEFT(Table2[[#This Row],[Branch]],1),"/", RIGHT(YEAR(TODAY()),2), "/",Table2[[#This Row],[Seq. Number]])</f>
        <v>Q/R/W/26/223</v>
      </c>
      <c r="F50" s="3" t="str">
        <v>El Reedy Shipping</v>
      </c>
      <c r="J50" s="3" t="str">
        <v>Sarnia</v>
      </c>
    </row>
    <row r="51">
      <c r="A51" s="3">
        <v>45021</v>
      </c>
      <c r="B51" s="3" t="str">
        <v>N:New Quotation</v>
      </c>
      <c r="C51" s="3" t="str">
        <v>P:P&amp;I</v>
      </c>
      <c r="D51" s="3">
        <f>D50+1</f>
        <v>224</v>
      </c>
      <c r="E51" s="3" t="str">
        <f>CONCAT("Q","/",LEFT(Table2[[#This Row],[Quotation Type]],1),"/", LEFT(Table2[[#This Row],[Branch]],1),"/", RIGHT(YEAR(TODAY()),2), "/",Table2[[#This Row],[Seq. Number]])</f>
        <v>Q/N/P/26/224</v>
      </c>
      <c r="F51" s="3" t="str">
        <v>Morgan Navigation</v>
      </c>
      <c r="I51" s="3" t="str">
        <v>GC</v>
      </c>
      <c r="J51" s="3" t="str">
        <v>Sarnia</v>
      </c>
    </row>
    <row r="52">
      <c r="A52" s="3">
        <v>45022</v>
      </c>
      <c r="B52" s="3" t="str">
        <v>N:New Quotation</v>
      </c>
      <c r="C52" s="3" t="str">
        <v>H:Hull</v>
      </c>
      <c r="D52" s="3">
        <f>D51+1</f>
        <v>225</v>
      </c>
      <c r="E52" s="3" t="str">
        <f>CONCAT("Q","/",LEFT(Table2[[#This Row],[Quotation Type]],1),"/", LEFT(Table2[[#This Row],[Branch]],1),"/", RIGHT(YEAR(TODAY()),2), "/",Table2[[#This Row],[Seq. Number]])</f>
        <v>Q/N/H/26/225</v>
      </c>
      <c r="F52" s="3" t="str">
        <v>BAS Shipping</v>
      </c>
      <c r="I52" s="3" t="str">
        <v>Tug</v>
      </c>
      <c r="J52" s="3" t="str">
        <v>IPIC</v>
      </c>
    </row>
    <row r="53">
      <c r="A53" s="3">
        <v>45027</v>
      </c>
      <c r="B53" s="3" t="str">
        <v>R:Renewal</v>
      </c>
      <c r="C53" s="3" t="str">
        <v>Y:Yacht</v>
      </c>
      <c r="D53" s="3">
        <f>D52+1</f>
        <v>226</v>
      </c>
      <c r="E53" s="3" t="str">
        <f>CONCAT("Q","/",LEFT(Table2[[#This Row],[Quotation Type]],1),"/", LEFT(Table2[[#This Row],[Branch]],1),"/", RIGHT(YEAR(TODAY()),2), "/",Table2[[#This Row],[Seq. Number]])</f>
        <v>Q/R/Y/26/226</v>
      </c>
      <c r="F53" s="3" t="str">
        <v>Jedi Holdings</v>
      </c>
      <c r="G53" s="3" t="str">
        <v>Hayati/Hayati III</v>
      </c>
      <c r="I53" s="3" t="str">
        <v>Yacht</v>
      </c>
      <c r="J53" s="3" t="str">
        <v>City</v>
      </c>
    </row>
    <row r="54">
      <c r="A54" s="3">
        <v>45028</v>
      </c>
      <c r="B54" s="3" t="str">
        <v>N:New Quotation</v>
      </c>
      <c r="C54" s="3" t="str">
        <v>W:War</v>
      </c>
      <c r="D54" s="3">
        <f>D53+1</f>
        <v>227</v>
      </c>
      <c r="E54" s="3" t="str">
        <f>CONCAT("Q","/",LEFT(Table2[[#This Row],[Quotation Type]],1),"/", LEFT(Table2[[#This Row],[Branch]],1),"/", RIGHT(YEAR(TODAY()),2), "/",Table2[[#This Row],[Seq. Number]])</f>
        <v>Q/N/W/26/227</v>
      </c>
      <c r="F54" s="3" t="str">
        <v>SSS</v>
      </c>
      <c r="G54" s="3" t="str">
        <v>Loura B</v>
      </c>
      <c r="I54" s="3" t="str">
        <v>O/T</v>
      </c>
      <c r="J54" s="3" t="str">
        <v>SSS</v>
      </c>
    </row>
    <row r="55">
      <c r="A55" s="3">
        <v>45028</v>
      </c>
      <c r="B55" s="3" t="str">
        <v>N:New Quotation</v>
      </c>
      <c r="C55" s="3" t="str">
        <v>H:Hull</v>
      </c>
      <c r="D55" s="3">
        <f>D54+1</f>
        <v>228</v>
      </c>
      <c r="E55" s="3" t="str">
        <f>CONCAT("Q","/",LEFT(Table2[[#This Row],[Quotation Type]],1),"/", LEFT(Table2[[#This Row],[Branch]],1),"/", RIGHT(YEAR(TODAY()),2), "/",Table2[[#This Row],[Seq. Number]])</f>
        <v>Q/N/H/26/228</v>
      </c>
      <c r="F55" s="3" t="str">
        <v>Alpha Ship Management Limited</v>
      </c>
      <c r="G55" s="3" t="str">
        <v>Endo Levante</v>
      </c>
      <c r="H55" s="3">
        <v>9145011</v>
      </c>
      <c r="I55" s="3" t="str">
        <v>O/T</v>
      </c>
      <c r="J55" s="3" t="str">
        <v>City</v>
      </c>
    </row>
    <row r="56">
      <c r="A56" s="3">
        <v>45029</v>
      </c>
      <c r="B56" s="3" t="str">
        <v>N:New Quotation</v>
      </c>
      <c r="C56" s="3" t="str">
        <v>H:Hull</v>
      </c>
      <c r="D56" s="3">
        <f>D55+1</f>
        <v>229</v>
      </c>
      <c r="E56" s="3" t="str">
        <f>CONCAT("Q","/",LEFT(Table2[[#This Row],[Quotation Type]],1),"/", LEFT(Table2[[#This Row],[Branch]],1),"/", RIGHT(YEAR(TODAY()),2), "/",Table2[[#This Row],[Seq. Number]])</f>
        <v>Q/N/H/26/229</v>
      </c>
      <c r="F56" s="3" t="str">
        <v>Dragos Shipping Ltd</v>
      </c>
      <c r="G56" s="3" t="str">
        <v>Zagor</v>
      </c>
      <c r="H56" s="3">
        <v>9126352</v>
      </c>
      <c r="I56" s="3" t="str">
        <v>GC</v>
      </c>
      <c r="J56" s="3" t="str">
        <v>IPIC</v>
      </c>
    </row>
    <row r="57">
      <c r="A57" s="3">
        <v>45029</v>
      </c>
      <c r="B57" s="3" t="str">
        <v>N:New Quotation</v>
      </c>
      <c r="C57" s="3" t="str">
        <v>H:Hull</v>
      </c>
      <c r="D57" s="3">
        <f>D56+1</f>
        <v>230</v>
      </c>
      <c r="E57" s="3" t="str">
        <f>CONCAT("Q","/",LEFT(Table2[[#This Row],[Quotation Type]],1),"/", LEFT(Table2[[#This Row],[Branch]],1),"/", RIGHT(YEAR(TODAY()),2), "/",Table2[[#This Row],[Seq. Number]])</f>
        <v>Q/N/H/26/230</v>
      </c>
      <c r="G57" s="3" t="str">
        <v>SVS Vega</v>
      </c>
      <c r="H57" s="3">
        <v>9103788</v>
      </c>
      <c r="I57" s="3" t="str">
        <v>GC</v>
      </c>
      <c r="J57" s="3" t="str">
        <v>IPIC</v>
      </c>
    </row>
    <row r="58">
      <c r="A58" s="3">
        <v>45029</v>
      </c>
      <c r="B58" s="3" t="str">
        <v>A:Addition</v>
      </c>
      <c r="C58" s="3" t="str">
        <v>H:Hull</v>
      </c>
      <c r="D58" s="3">
        <f>D57+1</f>
        <v>231</v>
      </c>
      <c r="E58" s="3" t="str">
        <f>CONCAT("Q","/",LEFT(Table2[[#This Row],[Quotation Type]],1),"/", LEFT(Table2[[#This Row],[Branch]],1),"/", RIGHT(YEAR(TODAY()),2), "/",Table2[[#This Row],[Seq. Number]])</f>
        <v>Q/A/H/26/231</v>
      </c>
      <c r="F58" s="3" t="str">
        <v>Mykonos Lines</v>
      </c>
      <c r="G58" s="3" t="str">
        <v>Mykonos 3</v>
      </c>
      <c r="I58" s="3" t="str">
        <v>GC</v>
      </c>
      <c r="J58" s="3" t="str">
        <v>Velos</v>
      </c>
    </row>
    <row r="59">
      <c r="A59" s="3">
        <v>45029</v>
      </c>
      <c r="B59" s="3" t="str">
        <v>R:Renewal</v>
      </c>
      <c r="C59" s="3" t="str">
        <v>H:Hull</v>
      </c>
      <c r="D59" s="3">
        <f>D58+1</f>
        <v>232</v>
      </c>
      <c r="E59" s="3" t="str">
        <f>CONCAT("Q","/",LEFT(Table2[[#This Row],[Quotation Type]],1),"/", LEFT(Table2[[#This Row],[Branch]],1),"/", RIGHT(YEAR(TODAY()),2), "/",Table2[[#This Row],[Seq. Number]])</f>
        <v>Q/R/H/26/232</v>
      </c>
      <c r="F59" s="3" t="str">
        <v>Rifi DMCC</v>
      </c>
      <c r="G59" s="3" t="str">
        <v>Romeo Gas</v>
      </c>
      <c r="H59" s="3">
        <v>9133109</v>
      </c>
      <c r="I59" s="3" t="str">
        <v>LPG</v>
      </c>
      <c r="J59" s="3" t="str">
        <v>Orion</v>
      </c>
    </row>
    <row r="60">
      <c r="A60" s="3">
        <v>45030</v>
      </c>
      <c r="B60" s="3" t="str">
        <v>R:Renewal</v>
      </c>
      <c r="C60" s="3" t="str">
        <v>H:Hull</v>
      </c>
      <c r="D60" s="3">
        <f>D59+1</f>
        <v>233</v>
      </c>
      <c r="E60" s="3" t="str">
        <f>CONCAT("Q","/",LEFT(Table2[[#This Row],[Quotation Type]],1),"/", LEFT(Table2[[#This Row],[Branch]],1),"/", RIGHT(YEAR(TODAY()),2), "/",Table2[[#This Row],[Seq. Number]])</f>
        <v>Q/R/H/26/233</v>
      </c>
      <c r="F60" s="3" t="str">
        <v>Kingdom of Bahrain</v>
      </c>
      <c r="G60" s="3" t="str">
        <v>Celina</v>
      </c>
      <c r="J60" s="3" t="str">
        <v>Orion</v>
      </c>
    </row>
    <row r="61">
      <c r="A61" s="3">
        <v>45030</v>
      </c>
      <c r="B61" s="3" t="str">
        <v>R:Renewal</v>
      </c>
      <c r="C61" s="3" t="str">
        <v>H:Hull</v>
      </c>
      <c r="D61" s="3">
        <f>D60+1</f>
        <v>234</v>
      </c>
      <c r="E61" s="3" t="str">
        <f>CONCAT("Q","/",LEFT(Table2[[#This Row],[Quotation Type]],1),"/", LEFT(Table2[[#This Row],[Branch]],1),"/", RIGHT(YEAR(TODAY()),2), "/",Table2[[#This Row],[Seq. Number]])</f>
        <v>Q/R/H/26/234</v>
      </c>
      <c r="F61" s="3" t="str">
        <v>Kingdom of Bahrain</v>
      </c>
      <c r="G61" s="3" t="str">
        <v>Abbotsgrange</v>
      </c>
      <c r="J61" s="3" t="str">
        <v>Orion</v>
      </c>
    </row>
    <row r="62">
      <c r="A62" s="3">
        <v>45034</v>
      </c>
      <c r="B62" s="3" t="str">
        <v>A:Addition</v>
      </c>
      <c r="C62" s="3" t="str">
        <v>H:Hull</v>
      </c>
      <c r="D62" s="3">
        <f>D61+1</f>
        <v>235</v>
      </c>
      <c r="E62" s="3" t="str">
        <f>CONCAT("Q","/",LEFT(Table2[[#This Row],[Quotation Type]],1),"/", LEFT(Table2[[#This Row],[Branch]],1),"/", RIGHT(YEAR(TODAY()),2), "/",Table2[[#This Row],[Seq. Number]])</f>
        <v>Q/A/H/26/235</v>
      </c>
      <c r="F62" s="3" t="str">
        <v>Seamasters International</v>
      </c>
      <c r="G62" s="3" t="str">
        <v>J-Harmony</v>
      </c>
      <c r="I62" s="3" t="str">
        <v>BC</v>
      </c>
      <c r="J62" s="3" t="str">
        <v>Sarnia</v>
      </c>
    </row>
    <row r="63">
      <c r="A63" s="3">
        <v>45034</v>
      </c>
      <c r="B63" s="3" t="str">
        <v>N:New Quotation</v>
      </c>
      <c r="C63" s="3" t="str">
        <v>W:War</v>
      </c>
      <c r="D63" s="3">
        <f>D62+1</f>
        <v>236</v>
      </c>
      <c r="E63" s="3" t="str">
        <f>CONCAT("Q","/",LEFT(Table2[[#This Row],[Quotation Type]],1),"/", LEFT(Table2[[#This Row],[Branch]],1),"/", RIGHT(YEAR(TODAY()),2), "/",Table2[[#This Row],[Seq. Number]])</f>
        <v>Q/N/W/26/236</v>
      </c>
      <c r="F63" s="3" t="str">
        <v>Alpha Ship Management Limited</v>
      </c>
      <c r="G63" s="3" t="str">
        <v>Endo Levante</v>
      </c>
      <c r="H63" s="3">
        <v>9145011</v>
      </c>
      <c r="I63" s="3" t="str">
        <v>O/T</v>
      </c>
      <c r="J63" s="3" t="str">
        <v>City</v>
      </c>
    </row>
    <row r="64">
      <c r="A64" s="3">
        <v>45035</v>
      </c>
      <c r="B64" s="3" t="str">
        <v>N:New Quotation</v>
      </c>
      <c r="C64" s="3" t="str">
        <v>V:Voyage</v>
      </c>
      <c r="D64" s="3">
        <f>D63+1</f>
        <v>237</v>
      </c>
      <c r="E64" s="3" t="str">
        <f>CONCAT("Q","/",LEFT(Table2[[#This Row],[Quotation Type]],1),"/", LEFT(Table2[[#This Row],[Branch]],1),"/", RIGHT(YEAR(TODAY()),2), "/",Table2[[#This Row],[Seq. Number]])</f>
        <v>Q/N/V/26/237</v>
      </c>
      <c r="F64" s="3" t="str">
        <v>Spanopoulos Group</v>
      </c>
      <c r="I64" s="3" t="str">
        <v>Tug</v>
      </c>
      <c r="J64" s="3" t="str">
        <v>IPIC</v>
      </c>
    </row>
    <row r="65">
      <c r="A65" s="3">
        <v>45035</v>
      </c>
      <c r="B65" s="3" t="str">
        <v>R:Renewal</v>
      </c>
      <c r="C65" s="3" t="str">
        <v>H:Hull</v>
      </c>
      <c r="D65" s="3">
        <f>D64+1</f>
        <v>238</v>
      </c>
      <c r="E65" s="3" t="str">
        <f>CONCAT("Q","/",LEFT(Table2[[#This Row],[Quotation Type]],1),"/", LEFT(Table2[[#This Row],[Branch]],1),"/", RIGHT(YEAR(TODAY()),2), "/",Table2[[#This Row],[Seq. Number]])</f>
        <v>Q/R/H/26/238</v>
      </c>
      <c r="F65" s="3" t="str">
        <v>Costalina</v>
      </c>
      <c r="G65" s="3" t="str">
        <v>Janki/Kavita</v>
      </c>
      <c r="J65" s="3" t="str">
        <v>City</v>
      </c>
    </row>
    <row r="66">
      <c r="A66" s="3">
        <v>45035</v>
      </c>
      <c r="B66" s="3" t="str">
        <v>R:Renewal</v>
      </c>
      <c r="C66" s="3" t="str">
        <v>W:War</v>
      </c>
      <c r="D66" s="3">
        <f>D65+1</f>
        <v>239</v>
      </c>
      <c r="E66" s="3" t="str">
        <f>CONCAT("Q","/",LEFT(Table2[[#This Row],[Quotation Type]],1),"/", LEFT(Table2[[#This Row],[Branch]],1),"/", RIGHT(YEAR(TODAY()),2), "/",Table2[[#This Row],[Seq. Number]])</f>
        <v>Q/R/W/26/239</v>
      </c>
      <c r="F66" s="3" t="str">
        <v>Costalina</v>
      </c>
      <c r="G66" s="3" t="str">
        <v>Janki/Kavita</v>
      </c>
      <c r="J66" s="3" t="str">
        <v>City</v>
      </c>
    </row>
    <row r="67">
      <c r="A67" s="3">
        <v>45042</v>
      </c>
      <c r="B67" s="3" t="str">
        <v>R:Renewal</v>
      </c>
      <c r="C67" s="3" t="str">
        <v>P:P&amp;I</v>
      </c>
      <c r="D67" s="3">
        <f>D66+1</f>
        <v>240</v>
      </c>
      <c r="E67" s="3" t="str">
        <f>CONCAT("Q","/",LEFT(Table2[[#This Row],[Quotation Type]],1),"/", LEFT(Table2[[#This Row],[Branch]],1),"/", RIGHT(YEAR(TODAY()),2), "/",Table2[[#This Row],[Seq. Number]])</f>
        <v>Q/R/P/26/240</v>
      </c>
      <c r="F67" s="3" t="str">
        <v>One Nile Management</v>
      </c>
      <c r="G67" s="3" t="str">
        <v>Dania</v>
      </c>
      <c r="I67" s="3" t="str">
        <v>MLV</v>
      </c>
      <c r="J67" s="3" t="str">
        <v>Direct</v>
      </c>
    </row>
    <row r="68">
      <c r="A68" s="3">
        <v>45043</v>
      </c>
      <c r="B68" s="3" t="str">
        <v>R:Renewal</v>
      </c>
      <c r="C68" s="3" t="str">
        <v>H:Hull</v>
      </c>
      <c r="D68" s="3">
        <f>D67+1</f>
        <v>241</v>
      </c>
      <c r="E68" s="3" t="str">
        <f>CONCAT("Q","/",LEFT(Table2[[#This Row],[Quotation Type]],1),"/", LEFT(Table2[[#This Row],[Branch]],1),"/", RIGHT(YEAR(TODAY()),2), "/",Table2[[#This Row],[Seq. Number]])</f>
        <v>Q/R/H/26/241</v>
      </c>
      <c r="F68" s="3" t="str">
        <v>Akad Marine S.A.</v>
      </c>
      <c r="G68" s="3" t="str">
        <v>Khaled A</v>
      </c>
      <c r="H68" s="3">
        <v>9010046</v>
      </c>
      <c r="I68" s="3" t="str">
        <v>GC</v>
      </c>
      <c r="J68" s="3" t="str">
        <v>Shady Saab</v>
      </c>
    </row>
    <row r="69">
      <c r="A69" s="3">
        <v>45043</v>
      </c>
      <c r="B69" s="3" t="str">
        <v>R:Renewal</v>
      </c>
      <c r="C69" s="3" t="str">
        <v>P:P&amp;I</v>
      </c>
      <c r="D69" s="3">
        <f>D68+1</f>
        <v>242</v>
      </c>
      <c r="E69" s="3" t="str">
        <f>CONCAT("Q","/",LEFT(Table2[[#This Row],[Quotation Type]],1),"/", LEFT(Table2[[#This Row],[Branch]],1),"/", RIGHT(YEAR(TODAY()),2), "/",Table2[[#This Row],[Seq. Number]])</f>
        <v>Q/R/P/26/242</v>
      </c>
      <c r="F69" s="3" t="str">
        <v>Akad Marine S.A.</v>
      </c>
      <c r="G69" s="3" t="str">
        <v>Khaled A</v>
      </c>
      <c r="H69" s="3">
        <v>9010046</v>
      </c>
      <c r="I69" s="3" t="str">
        <v>GC</v>
      </c>
      <c r="J69" s="3" t="str">
        <v>Shady Saab</v>
      </c>
    </row>
    <row r="70">
      <c r="A70" s="3">
        <v>45043</v>
      </c>
      <c r="B70" s="3" t="str">
        <v>R:Renewal</v>
      </c>
      <c r="C70" s="3" t="str">
        <v>H:Hull</v>
      </c>
      <c r="D70" s="3">
        <f>D69+1</f>
        <v>243</v>
      </c>
      <c r="E70" s="3" t="str">
        <f>CONCAT("Q","/",LEFT(Table2[[#This Row],[Quotation Type]],1),"/", LEFT(Table2[[#This Row],[Branch]],1),"/", RIGHT(YEAR(TODAY()),2), "/",Table2[[#This Row],[Seq. Number]])</f>
        <v>Q/R/H/26/243</v>
      </c>
      <c r="F70" s="3" t="str">
        <v>Akad Marine S.A.</v>
      </c>
      <c r="G70" s="3" t="str">
        <v>Ali A</v>
      </c>
      <c r="H70" s="3">
        <v>7915307</v>
      </c>
      <c r="I70" s="3" t="str">
        <v>GC</v>
      </c>
      <c r="J70" s="3" t="str">
        <v>Direct</v>
      </c>
    </row>
    <row r="71">
      <c r="A71" s="3">
        <v>45043</v>
      </c>
      <c r="B71" s="3" t="str">
        <v>R:Renewal</v>
      </c>
      <c r="C71" s="3" t="str">
        <v>P:P&amp;I</v>
      </c>
      <c r="D71" s="3">
        <f>D70+1</f>
        <v>244</v>
      </c>
      <c r="E71" s="3" t="str">
        <f>CONCAT("Q","/",LEFT(Table2[[#This Row],[Quotation Type]],1),"/", LEFT(Table2[[#This Row],[Branch]],1),"/", RIGHT(YEAR(TODAY()),2), "/",Table2[[#This Row],[Seq. Number]])</f>
        <v>Q/R/P/26/244</v>
      </c>
      <c r="F71" s="3" t="str">
        <v>Akad Marine S.A.</v>
      </c>
      <c r="G71" s="3" t="str">
        <v>Ali A</v>
      </c>
      <c r="H71" s="3">
        <v>7915307</v>
      </c>
      <c r="I71" s="3" t="str">
        <v>GC</v>
      </c>
      <c r="J71" s="3" t="str">
        <v>Direct</v>
      </c>
    </row>
    <row r="72">
      <c r="A72" s="3">
        <v>45043</v>
      </c>
      <c r="B72" s="3" t="str">
        <v>R:Renewal</v>
      </c>
      <c r="C72" s="3" t="str">
        <v>H:Hull</v>
      </c>
      <c r="D72" s="3">
        <f>D71+1</f>
        <v>245</v>
      </c>
      <c r="E72" s="3" t="str">
        <f>CONCAT("Q","/",LEFT(Table2[[#This Row],[Quotation Type]],1),"/", LEFT(Table2[[#This Row],[Branch]],1),"/", RIGHT(YEAR(TODAY()),2), "/",Table2[[#This Row],[Seq. Number]])</f>
        <v>Q/R/H/26/245</v>
      </c>
      <c r="F72" s="3" t="str">
        <v>Rami Shipping</v>
      </c>
      <c r="G72" s="3" t="str">
        <v>Boi Branco</v>
      </c>
      <c r="H72" s="3">
        <v>7527306</v>
      </c>
      <c r="I72" s="3" t="str">
        <v>MLV</v>
      </c>
      <c r="J72" s="3" t="str">
        <v>Direct</v>
      </c>
    </row>
    <row r="73">
      <c r="A73" s="3">
        <v>45043</v>
      </c>
      <c r="B73" s="3" t="str">
        <v>R:Renewal</v>
      </c>
      <c r="C73" s="3" t="str">
        <v>P:P&amp;I</v>
      </c>
      <c r="D73" s="3">
        <f>D72+1</f>
        <v>246</v>
      </c>
      <c r="E73" s="3" t="str">
        <f>CONCAT("Q","/",LEFT(Table2[[#This Row],[Quotation Type]],1),"/", LEFT(Table2[[#This Row],[Branch]],1),"/", RIGHT(YEAR(TODAY()),2), "/",Table2[[#This Row],[Seq. Number]])</f>
        <v>Q/R/P/26/246</v>
      </c>
      <c r="F73" s="3" t="str">
        <v>Rami Shipping</v>
      </c>
      <c r="G73" s="3" t="str">
        <v>Boi Branco</v>
      </c>
      <c r="H73" s="3">
        <v>7527306</v>
      </c>
      <c r="I73" s="3" t="str">
        <v>MLV</v>
      </c>
      <c r="J73" s="3" t="str">
        <v>Direct</v>
      </c>
    </row>
    <row r="74">
      <c r="A74" s="3">
        <v>45043</v>
      </c>
      <c r="B74" s="3" t="str">
        <v>R:Renewal</v>
      </c>
      <c r="C74" s="3" t="str">
        <v>H:Hull</v>
      </c>
      <c r="D74" s="3">
        <f>D73+1</f>
        <v>247</v>
      </c>
      <c r="E74" s="3" t="str">
        <f>CONCAT("Q","/",LEFT(Table2[[#This Row],[Quotation Type]],1),"/", LEFT(Table2[[#This Row],[Branch]],1),"/", RIGHT(YEAR(TODAY()),2), "/",Table2[[#This Row],[Seq. Number]])</f>
        <v>Q/R/H/26/247</v>
      </c>
      <c r="F74" s="3" t="str">
        <v>Asaker Marine</v>
      </c>
      <c r="G74" s="3" t="str">
        <v>Diamond XXIV</v>
      </c>
      <c r="H74" s="3">
        <v>9586942</v>
      </c>
      <c r="I74" s="3" t="str">
        <v>Tug</v>
      </c>
      <c r="J74" s="3" t="str">
        <v>Fairwater</v>
      </c>
    </row>
    <row r="75">
      <c r="A75" s="3">
        <v>45043</v>
      </c>
      <c r="B75" s="3" t="str">
        <v>R:Renewal</v>
      </c>
      <c r="C75" s="3" t="str">
        <v>H:Hull</v>
      </c>
      <c r="D75" s="3">
        <f>D74+1</f>
        <v>248</v>
      </c>
      <c r="E75" s="3" t="str">
        <f>CONCAT("Q","/",LEFT(Table2[[#This Row],[Quotation Type]],1),"/", LEFT(Table2[[#This Row],[Branch]],1),"/", RIGHT(YEAR(TODAY()),2), "/",Table2[[#This Row],[Seq. Number]])</f>
        <v>Q/R/H/26/248</v>
      </c>
      <c r="F75" s="3" t="str">
        <v>SSS</v>
      </c>
      <c r="G75" s="3" t="str">
        <v>Rani</v>
      </c>
      <c r="H75" s="3">
        <v>7700207</v>
      </c>
      <c r="I75" s="3" t="str">
        <v>GC</v>
      </c>
      <c r="J75" s="3" t="str">
        <v>Direct</v>
      </c>
    </row>
    <row r="76">
      <c r="A76" s="3">
        <v>45043</v>
      </c>
      <c r="B76" s="3" t="str">
        <v>R:Renewal</v>
      </c>
      <c r="C76" s="3" t="str">
        <v>P:P&amp;I</v>
      </c>
      <c r="D76" s="3">
        <f>D75+1</f>
        <v>249</v>
      </c>
      <c r="E76" s="3" t="str">
        <f>CONCAT("Q","/",LEFT(Table2[[#This Row],[Quotation Type]],1),"/", LEFT(Table2[[#This Row],[Branch]],1),"/", RIGHT(YEAR(TODAY()),2), "/",Table2[[#This Row],[Seq. Number]])</f>
        <v>Q/R/P/26/249</v>
      </c>
      <c r="F76" s="3" t="str">
        <v>SSS</v>
      </c>
      <c r="G76" s="3" t="str">
        <v>Rani</v>
      </c>
      <c r="H76" s="3">
        <v>7700207</v>
      </c>
      <c r="I76" s="3" t="str">
        <v>GC</v>
      </c>
      <c r="J76" s="3" t="str">
        <v>Direct</v>
      </c>
    </row>
    <row r="77">
      <c r="A77" s="3">
        <v>45043</v>
      </c>
      <c r="B77" s="3" t="str">
        <v>N:New Quotation</v>
      </c>
      <c r="C77" s="3" t="str">
        <v>H:Hull</v>
      </c>
      <c r="D77" s="3">
        <f>D76+1</f>
        <v>250</v>
      </c>
      <c r="E77" s="3" t="str">
        <f>CONCAT("Q","/",LEFT(Table2[[#This Row],[Quotation Type]],1),"/", LEFT(Table2[[#This Row],[Branch]],1),"/", RIGHT(YEAR(TODAY()),2), "/",Table2[[#This Row],[Seq. Number]])</f>
        <v>Q/N/H/26/250</v>
      </c>
      <c r="F77" s="3" t="str">
        <v>Glow Shipping</v>
      </c>
      <c r="G77" s="3" t="str">
        <v>Lunis</v>
      </c>
      <c r="H77" s="3">
        <v>9200859</v>
      </c>
      <c r="I77" s="3" t="str">
        <v>O/T</v>
      </c>
      <c r="J77" s="3" t="str">
        <v>City</v>
      </c>
    </row>
    <row r="78">
      <c r="A78" s="3">
        <v>45043</v>
      </c>
      <c r="B78" s="3" t="str">
        <v>N:New Quotation</v>
      </c>
      <c r="C78" s="3" t="str">
        <v>W:War</v>
      </c>
      <c r="D78" s="3">
        <f>D77+1</f>
        <v>251</v>
      </c>
      <c r="E78" s="3" t="str">
        <f>CONCAT("Q","/",LEFT(Table2[[#This Row],[Quotation Type]],1),"/", LEFT(Table2[[#This Row],[Branch]],1),"/", RIGHT(YEAR(TODAY()),2), "/",Table2[[#This Row],[Seq. Number]])</f>
        <v>Q/N/W/26/251</v>
      </c>
      <c r="F78" s="3" t="str">
        <v>Glow Shipping</v>
      </c>
      <c r="G78" s="3" t="str">
        <v>Lunis</v>
      </c>
      <c r="H78" s="3">
        <v>9200859</v>
      </c>
      <c r="I78" s="3" t="str">
        <v>O/T</v>
      </c>
      <c r="J78" s="3" t="str">
        <v>City</v>
      </c>
    </row>
    <row r="79">
      <c r="A79" s="3">
        <v>45044</v>
      </c>
      <c r="B79" s="3" t="str">
        <v>N:New Quotation</v>
      </c>
      <c r="C79" s="3" t="str">
        <v>V:Voyage</v>
      </c>
      <c r="D79" s="3">
        <f>D78+1</f>
        <v>252</v>
      </c>
      <c r="E79" s="3" t="str">
        <f>CONCAT("Q","/",LEFT(Table2[[#This Row],[Quotation Type]],1),"/", LEFT(Table2[[#This Row],[Branch]],1),"/", RIGHT(YEAR(TODAY()),2), "/",Table2[[#This Row],[Seq. Number]])</f>
        <v>Q/N/V/26/252</v>
      </c>
      <c r="F79" s="3" t="str">
        <v>Mubarak Marine</v>
      </c>
      <c r="G79" s="3" t="str">
        <v>Al Falasi 1</v>
      </c>
      <c r="I79" s="3" t="str">
        <v>Yacht</v>
      </c>
      <c r="J79" s="3" t="str">
        <v>City</v>
      </c>
    </row>
    <row r="80">
      <c r="A80" s="3">
        <v>45048</v>
      </c>
      <c r="B80" s="3" t="str">
        <v>N:New Quotation</v>
      </c>
      <c r="C80" s="3" t="str">
        <v>H:Hull</v>
      </c>
      <c r="D80" s="3">
        <f>D79+1</f>
        <v>253</v>
      </c>
      <c r="E80" s="3" t="str">
        <f>CONCAT("Q","/",LEFT(Table2[[#This Row],[Quotation Type]],1),"/", LEFT(Table2[[#This Row],[Branch]],1),"/", RIGHT(YEAR(TODAY()),2), "/",Table2[[#This Row],[Seq. Number]])</f>
        <v>Q/N/H/26/253</v>
      </c>
      <c r="F80" s="3" t="str">
        <v>Ammships Pte Ltd</v>
      </c>
      <c r="G80" s="3" t="str">
        <v>Samjin 2</v>
      </c>
      <c r="H80" s="3">
        <v>8865171</v>
      </c>
      <c r="I80" s="3" t="str">
        <v>O/T</v>
      </c>
      <c r="J80" s="3" t="str">
        <v>Orion</v>
      </c>
    </row>
    <row r="81">
      <c r="A81" s="3">
        <v>45048</v>
      </c>
      <c r="B81" s="3" t="str">
        <v>N:New Quotation</v>
      </c>
      <c r="C81" s="3" t="str">
        <v>H:Hull</v>
      </c>
      <c r="D81" s="3">
        <f>D80+1</f>
        <v>254</v>
      </c>
      <c r="E81" s="3" t="str">
        <f>CONCAT("Q","/",LEFT(Table2[[#This Row],[Quotation Type]],1),"/", LEFT(Table2[[#This Row],[Branch]],1),"/", RIGHT(YEAR(TODAY()),2), "/",Table2[[#This Row],[Seq. Number]])</f>
        <v>Q/N/H/26/254</v>
      </c>
      <c r="F81" s="3" t="str">
        <v>DTA Maritime LLC</v>
      </c>
      <c r="G81" s="3" t="str">
        <v>Shark 1</v>
      </c>
      <c r="H81" s="3">
        <v>8981200</v>
      </c>
      <c r="I81" s="3" t="str">
        <v>Service Vessel</v>
      </c>
      <c r="J81" s="3" t="str">
        <v>IPIC</v>
      </c>
    </row>
    <row r="82">
      <c r="A82" s="3">
        <v>45049</v>
      </c>
      <c r="B82" s="3" t="str">
        <v>N:New Quotation</v>
      </c>
      <c r="C82" s="3" t="str">
        <v>C:Cargo</v>
      </c>
      <c r="D82" s="3">
        <f>D81+1</f>
        <v>255</v>
      </c>
      <c r="E82" s="3" t="str">
        <f>CONCAT("Q","/",LEFT(Table2[[#This Row],[Quotation Type]],1),"/", LEFT(Table2[[#This Row],[Branch]],1),"/", RIGHT(YEAR(TODAY()),2), "/",Table2[[#This Row],[Seq. Number]])</f>
        <v>Q/N/C/26/255</v>
      </c>
      <c r="F82" s="3" t="str">
        <v>Haytek</v>
      </c>
      <c r="J82" s="3" t="str">
        <v>Direct</v>
      </c>
    </row>
    <row r="83">
      <c r="A83" s="3">
        <v>45054</v>
      </c>
      <c r="B83" s="3" t="str">
        <v>R:Renewal</v>
      </c>
      <c r="C83" s="3" t="str">
        <v>H:Hull</v>
      </c>
      <c r="D83" s="3">
        <f>D82+1</f>
        <v>256</v>
      </c>
      <c r="E83" s="3" t="str">
        <f>CONCAT("Q","/",LEFT(Table2[[#This Row],[Quotation Type]],1),"/", LEFT(Table2[[#This Row],[Branch]],1),"/", RIGHT(YEAR(TODAY()),2), "/",Table2[[#This Row],[Seq. Number]])</f>
        <v>Q/R/H/26/256</v>
      </c>
      <c r="F83" s="3" t="str">
        <v>SSS</v>
      </c>
      <c r="G83" s="3" t="str">
        <v>Punta Fewell</v>
      </c>
      <c r="I83" s="3" t="str">
        <v>Tug</v>
      </c>
      <c r="J83" s="3" t="str">
        <v>SSS</v>
      </c>
    </row>
    <row r="84">
      <c r="A84" s="3">
        <v>45054</v>
      </c>
      <c r="B84" s="3" t="str">
        <v>R:Renewal</v>
      </c>
      <c r="C84" s="3" t="str">
        <v>P:P&amp;I</v>
      </c>
      <c r="D84" s="3">
        <f>D83+1</f>
        <v>257</v>
      </c>
      <c r="E84" s="3" t="str">
        <f>CONCAT("Q","/",LEFT(Table2[[#This Row],[Quotation Type]],1),"/", LEFT(Table2[[#This Row],[Branch]],1),"/", RIGHT(YEAR(TODAY()),2), "/",Table2[[#This Row],[Seq. Number]])</f>
        <v>Q/R/P/26/257</v>
      </c>
      <c r="F84" s="3" t="str">
        <v>SSS</v>
      </c>
      <c r="G84" s="3" t="str">
        <v>Punta Fewell</v>
      </c>
      <c r="I84" s="3" t="str">
        <v>Tug</v>
      </c>
      <c r="J84" s="3" t="str">
        <v>SSS</v>
      </c>
    </row>
    <row r="85">
      <c r="A85" s="3">
        <v>45055</v>
      </c>
      <c r="B85" s="3" t="str">
        <v>R:Renewal</v>
      </c>
      <c r="C85" s="3" t="str">
        <v>H:Hull</v>
      </c>
      <c r="D85" s="3">
        <f>D84+1</f>
        <v>258</v>
      </c>
      <c r="E85" s="3" t="str">
        <f>CONCAT("Q","/",LEFT(Table2[[#This Row],[Quotation Type]],1),"/", LEFT(Table2[[#This Row],[Branch]],1),"/", RIGHT(YEAR(TODAY()),2), "/",Table2[[#This Row],[Seq. Number]])</f>
        <v>Q/R/H/26/258</v>
      </c>
      <c r="F85" s="3" t="str">
        <v>El Kashawi</v>
      </c>
      <c r="G85" s="3" t="str">
        <v>Golden Arrow</v>
      </c>
      <c r="J85" s="3" t="str">
        <v>Brandenburg</v>
      </c>
    </row>
    <row r="86">
      <c r="A86" s="3">
        <v>45056</v>
      </c>
      <c r="B86" s="3" t="str">
        <v>R:Renewal</v>
      </c>
      <c r="C86" s="3" t="str">
        <v>H:Hull</v>
      </c>
      <c r="D86" s="3">
        <f>D85+1</f>
        <v>259</v>
      </c>
      <c r="E86" s="3" t="str">
        <f>CONCAT("Q","/",LEFT(Table2[[#This Row],[Quotation Type]],1),"/", LEFT(Table2[[#This Row],[Branch]],1),"/", RIGHT(YEAR(TODAY()),2), "/",Table2[[#This Row],[Seq. Number]])</f>
        <v>Q/R/H/26/259</v>
      </c>
      <c r="F86" s="3" t="str">
        <v>Mody Shipping</v>
      </c>
      <c r="J86" s="3" t="str">
        <v>Brandenburg</v>
      </c>
    </row>
    <row r="87">
      <c r="A87" s="3">
        <v>45056</v>
      </c>
      <c r="B87" s="3" t="str">
        <v>R:Renewal</v>
      </c>
      <c r="C87" s="3" t="str">
        <v>W:War</v>
      </c>
      <c r="D87" s="3">
        <f>D86+1</f>
        <v>260</v>
      </c>
      <c r="E87" s="3" t="str">
        <f>CONCAT("Q","/",LEFT(Table2[[#This Row],[Quotation Type]],1),"/", LEFT(Table2[[#This Row],[Branch]],1),"/", RIGHT(YEAR(TODAY()),2), "/",Table2[[#This Row],[Seq. Number]])</f>
        <v>Q/R/W/26/260</v>
      </c>
      <c r="F87" s="3" t="str">
        <v>Mody Shipping</v>
      </c>
      <c r="J87" s="3" t="str">
        <v>Brandenburg</v>
      </c>
    </row>
    <row r="88">
      <c r="A88" s="3">
        <v>45056</v>
      </c>
      <c r="B88" s="3" t="str">
        <v>R:Renewal</v>
      </c>
      <c r="C88" s="3" t="str">
        <v>H:Hull</v>
      </c>
      <c r="D88" s="3">
        <f>D87+1</f>
        <v>261</v>
      </c>
      <c r="E88" s="3" t="str">
        <f>CONCAT("Q","/",LEFT(Table2[[#This Row],[Quotation Type]],1),"/", LEFT(Table2[[#This Row],[Branch]],1),"/", RIGHT(YEAR(TODAY()),2), "/",Table2[[#This Row],[Seq. Number]])</f>
        <v>Q/R/H/26/261</v>
      </c>
      <c r="F88" s="3" t="str">
        <v>Regal Shipping</v>
      </c>
      <c r="G88" s="3" t="str">
        <v>Ivanka</v>
      </c>
      <c r="J88" s="3" t="str">
        <v>Brandenburg</v>
      </c>
    </row>
    <row r="89">
      <c r="A89" s="3">
        <v>45056</v>
      </c>
      <c r="B89" s="3" t="str">
        <v>R:Renewal</v>
      </c>
      <c r="C89" s="3" t="str">
        <v>W:War</v>
      </c>
      <c r="D89" s="3">
        <f>D88+1</f>
        <v>262</v>
      </c>
      <c r="E89" s="3" t="str">
        <f>CONCAT("Q","/",LEFT(Table2[[#This Row],[Quotation Type]],1),"/", LEFT(Table2[[#This Row],[Branch]],1),"/", RIGHT(YEAR(TODAY()),2), "/",Table2[[#This Row],[Seq. Number]])</f>
        <v>Q/R/W/26/262</v>
      </c>
      <c r="F89" s="3" t="str">
        <v>Regal Shipping</v>
      </c>
      <c r="G89" s="3" t="str">
        <v>Ivanka</v>
      </c>
      <c r="J89" s="3" t="str">
        <v>Brandenburg</v>
      </c>
    </row>
    <row r="90">
      <c r="A90" s="3">
        <v>45056</v>
      </c>
      <c r="B90" s="3" t="str">
        <v>R:Renewal</v>
      </c>
      <c r="C90" s="3" t="str">
        <v>H:Hull</v>
      </c>
      <c r="D90" s="3">
        <f>D89+1</f>
        <v>263</v>
      </c>
      <c r="E90" s="3" t="str">
        <f>CONCAT("Q","/",LEFT(Table2[[#This Row],[Quotation Type]],1),"/", LEFT(Table2[[#This Row],[Branch]],1),"/", RIGHT(YEAR(TODAY()),2), "/",Table2[[#This Row],[Seq. Number]])</f>
        <v>Q/R/H/26/263</v>
      </c>
      <c r="F90" s="3" t="str">
        <v>Med Sea Shipping</v>
      </c>
      <c r="G90" s="3" t="str">
        <v>Ivanka</v>
      </c>
      <c r="J90" s="3" t="str">
        <v>Brandenburg</v>
      </c>
    </row>
    <row r="91">
      <c r="A91" s="3">
        <v>45056</v>
      </c>
      <c r="B91" s="3" t="str">
        <v>R:Renewal</v>
      </c>
      <c r="C91" s="3" t="str">
        <v>W:War</v>
      </c>
      <c r="D91" s="3">
        <f>D90+1</f>
        <v>264</v>
      </c>
      <c r="E91" s="3" t="str">
        <f>CONCAT("Q","/",LEFT(Table2[[#This Row],[Quotation Type]],1),"/", LEFT(Table2[[#This Row],[Branch]],1),"/", RIGHT(YEAR(TODAY()),2), "/",Table2[[#This Row],[Seq. Number]])</f>
        <v>Q/R/W/26/264</v>
      </c>
      <c r="F91" s="3" t="str">
        <v>Med Sea Shipping</v>
      </c>
      <c r="G91" s="3" t="str">
        <v>Ivanka</v>
      </c>
      <c r="J91" s="3" t="str">
        <v>Brandenburg</v>
      </c>
    </row>
    <row r="92">
      <c r="A92" s="3">
        <v>45056</v>
      </c>
      <c r="B92" s="3" t="str">
        <v>R:Renewal</v>
      </c>
      <c r="C92" s="3" t="str">
        <v>H:Hull</v>
      </c>
      <c r="D92" s="3">
        <f>D91+1</f>
        <v>265</v>
      </c>
      <c r="E92" s="3" t="str">
        <f>CONCAT("Q","/",LEFT(Table2[[#This Row],[Quotation Type]],1),"/", LEFT(Table2[[#This Row],[Branch]],1),"/", RIGHT(YEAR(TODAY()),2), "/",Table2[[#This Row],[Seq. Number]])</f>
        <v>Q/R/H/26/265</v>
      </c>
      <c r="F92" s="3" t="str">
        <v>Dragonet Shipping</v>
      </c>
      <c r="G92" s="3" t="str">
        <v>Nivin</v>
      </c>
      <c r="I92" s="3" t="str">
        <v>Vehicle Carrier</v>
      </c>
      <c r="J92" s="3" t="str">
        <v>Direct</v>
      </c>
    </row>
    <row r="93">
      <c r="A93" s="3">
        <v>45056</v>
      </c>
      <c r="B93" s="3" t="str">
        <v>R:Renewal</v>
      </c>
      <c r="C93" s="3" t="str">
        <v>P:P&amp;I</v>
      </c>
      <c r="D93" s="3">
        <f>D92+1</f>
        <v>266</v>
      </c>
      <c r="E93" s="3" t="str">
        <f>CONCAT("Q","/",LEFT(Table2[[#This Row],[Quotation Type]],1),"/", LEFT(Table2[[#This Row],[Branch]],1),"/", RIGHT(YEAR(TODAY()),2), "/",Table2[[#This Row],[Seq. Number]])</f>
        <v>Q/R/P/26/266</v>
      </c>
      <c r="F93" s="3" t="str">
        <v>Dragonet Shipping</v>
      </c>
      <c r="G93" s="3" t="str">
        <v>Nivin</v>
      </c>
      <c r="I93" s="3" t="str">
        <v>Vehicle Carrier</v>
      </c>
      <c r="J93" s="3" t="str">
        <v>Direct</v>
      </c>
    </row>
    <row r="94">
      <c r="A94" s="3">
        <v>45056</v>
      </c>
      <c r="B94" s="3" t="str">
        <v>R:Renewal</v>
      </c>
      <c r="C94" s="3" t="str">
        <v>W:War</v>
      </c>
      <c r="D94" s="3">
        <f>D93+1</f>
        <v>267</v>
      </c>
      <c r="E94" s="3" t="str">
        <f>CONCAT("Q","/",LEFT(Table2[[#This Row],[Quotation Type]],1),"/", LEFT(Table2[[#This Row],[Branch]],1),"/", RIGHT(YEAR(TODAY()),2), "/",Table2[[#This Row],[Seq. Number]])</f>
        <v>Q/R/W/26/267</v>
      </c>
      <c r="F94" s="3" t="str">
        <v>Dragonet Shipping</v>
      </c>
      <c r="G94" s="3" t="str">
        <v>Nivin</v>
      </c>
      <c r="I94" s="3" t="str">
        <v>Vehicle Carrier</v>
      </c>
      <c r="J94" s="3" t="str">
        <v>Direct</v>
      </c>
    </row>
    <row r="95">
      <c r="A95" s="3">
        <v>45057</v>
      </c>
      <c r="B95" s="3" t="str">
        <v>R:Renewal</v>
      </c>
      <c r="C95" s="3" t="str">
        <v>H:Hull</v>
      </c>
      <c r="D95" s="3">
        <f>D94+1</f>
        <v>268</v>
      </c>
      <c r="E95" s="3" t="str">
        <f>CONCAT("Q","/",LEFT(Table2[[#This Row],[Quotation Type]],1),"/", LEFT(Table2[[#This Row],[Branch]],1),"/", RIGHT(YEAR(TODAY()),2), "/",Table2[[#This Row],[Seq. Number]])</f>
        <v>Q/R/H/26/268</v>
      </c>
      <c r="F95" s="3" t="str">
        <v>Atlantis Maritime</v>
      </c>
      <c r="G95" s="3" t="str">
        <v>Maria/Marin</v>
      </c>
      <c r="J95" s="3" t="str">
        <v>Brandenburg</v>
      </c>
    </row>
    <row r="96">
      <c r="A96" s="3">
        <v>45057</v>
      </c>
      <c r="B96" s="3" t="str">
        <v>R:Renewal</v>
      </c>
      <c r="C96" s="3" t="str">
        <v>W:War</v>
      </c>
      <c r="D96" s="3">
        <f>D95+1</f>
        <v>269</v>
      </c>
      <c r="E96" s="3" t="str">
        <f>CONCAT("Q","/",LEFT(Table2[[#This Row],[Quotation Type]],1),"/", LEFT(Table2[[#This Row],[Branch]],1),"/", RIGHT(YEAR(TODAY()),2), "/",Table2[[#This Row],[Seq. Number]])</f>
        <v>Q/R/W/26/269</v>
      </c>
      <c r="F96" s="3" t="str">
        <v>Atlantis Maritime</v>
      </c>
      <c r="G96" s="3" t="str">
        <v>Maria/Marin</v>
      </c>
      <c r="J96" s="3" t="str">
        <v>Brandenburg</v>
      </c>
    </row>
    <row r="97">
      <c r="A97" s="3">
        <v>45061</v>
      </c>
      <c r="B97" s="3" t="str">
        <v>R:Renewal</v>
      </c>
      <c r="C97" s="3" t="str">
        <v>P:P&amp;I</v>
      </c>
      <c r="D97" s="3">
        <f>D96+1</f>
        <v>270</v>
      </c>
      <c r="E97" s="3" t="str">
        <f>CONCAT("Q","/",LEFT(Table2[[#This Row],[Quotation Type]],1),"/", LEFT(Table2[[#This Row],[Branch]],1),"/", RIGHT(YEAR(TODAY()),2), "/",Table2[[#This Row],[Seq. Number]])</f>
        <v>Q/R/P/26/270</v>
      </c>
      <c r="F97" s="3" t="str">
        <v>Gulf Coast Shipping</v>
      </c>
      <c r="G97" s="3" t="str">
        <v>Adel I</v>
      </c>
      <c r="I97" s="3" t="str">
        <v>MLV</v>
      </c>
      <c r="J97" s="3" t="str">
        <v>Direct</v>
      </c>
    </row>
    <row r="98">
      <c r="A98" s="3">
        <v>45065</v>
      </c>
      <c r="B98" s="3" t="str">
        <v>N:New Quotation</v>
      </c>
      <c r="C98" s="3" t="str">
        <v>H:Hull</v>
      </c>
      <c r="D98" s="3">
        <f>D97+1</f>
        <v>271</v>
      </c>
      <c r="E98" s="3" t="str">
        <f>CONCAT("Q","/",LEFT(Table2[[#This Row],[Quotation Type]],1),"/", LEFT(Table2[[#This Row],[Branch]],1),"/", RIGHT(YEAR(TODAY()),2), "/",Table2[[#This Row],[Seq. Number]])</f>
        <v>Q/N/H/26/271</v>
      </c>
      <c r="F98" s="3" t="str">
        <v>North &amp; South</v>
      </c>
      <c r="G98" s="3" t="str">
        <v>Arz 1/2</v>
      </c>
      <c r="I98" s="3" t="str">
        <v>Barge</v>
      </c>
      <c r="J98" s="3" t="str">
        <v>ASM</v>
      </c>
    </row>
    <row r="99">
      <c r="A99" s="3">
        <v>45065</v>
      </c>
      <c r="B99" s="3" t="str">
        <v>N:New Quotation</v>
      </c>
      <c r="C99" s="3" t="str">
        <v>P:P&amp;I</v>
      </c>
      <c r="D99" s="3">
        <f>D98+1</f>
        <v>272</v>
      </c>
      <c r="E99" s="3" t="str">
        <f>CONCAT("Q","/",LEFT(Table2[[#This Row],[Quotation Type]],1),"/", LEFT(Table2[[#This Row],[Branch]],1),"/", RIGHT(YEAR(TODAY()),2), "/",Table2[[#This Row],[Seq. Number]])</f>
        <v>Q/N/P/26/272</v>
      </c>
      <c r="F99" s="3" t="str">
        <v>North &amp; South</v>
      </c>
      <c r="G99" s="3" t="str">
        <v>Arz 1/2</v>
      </c>
      <c r="I99" s="3" t="str">
        <v>Barge</v>
      </c>
      <c r="J99" s="3" t="str">
        <v>ASM</v>
      </c>
    </row>
    <row r="100">
      <c r="A100" s="3">
        <v>45068</v>
      </c>
      <c r="B100" s="3" t="str">
        <v>N:New Quotation</v>
      </c>
      <c r="C100" s="3" t="str">
        <v>V:Voyage</v>
      </c>
      <c r="D100" s="3">
        <f>D99+1</f>
        <v>273</v>
      </c>
      <c r="E100" s="3" t="str">
        <f>CONCAT("Q","/",LEFT(Table2[[#This Row],[Quotation Type]],1),"/", LEFT(Table2[[#This Row],[Branch]],1),"/", RIGHT(YEAR(TODAY()),2), "/",Table2[[#This Row],[Seq. Number]])</f>
        <v>Q/N/V/26/273</v>
      </c>
      <c r="G100" s="3" t="str">
        <v>Coral Queen</v>
      </c>
      <c r="I100" s="3" t="str">
        <v>Ro-Ro</v>
      </c>
      <c r="J100" s="3" t="str">
        <v>City</v>
      </c>
    </row>
    <row r="101">
      <c r="A101" s="3">
        <v>45068</v>
      </c>
      <c r="B101" s="3" t="str">
        <v>R:Renewal</v>
      </c>
      <c r="C101" s="3" t="str">
        <v>P:P&amp;I</v>
      </c>
      <c r="D101" s="3">
        <f>D100+1</f>
        <v>274</v>
      </c>
      <c r="E101" s="3" t="str">
        <f>CONCAT("Q","/",LEFT(Table2[[#This Row],[Quotation Type]],1),"/", LEFT(Table2[[#This Row],[Branch]],1),"/", RIGHT(YEAR(TODAY()),2), "/",Table2[[#This Row],[Seq. Number]])</f>
        <v>Q/R/P/26/274</v>
      </c>
      <c r="F101" s="3" t="str">
        <v>Livestock Internation Company</v>
      </c>
      <c r="G101" s="3" t="str">
        <v>Elena</v>
      </c>
      <c r="H101" s="3">
        <v>7406772</v>
      </c>
      <c r="I101" s="3" t="str">
        <v>MLV</v>
      </c>
      <c r="J101" s="3" t="str">
        <v>GMS</v>
      </c>
    </row>
    <row r="102">
      <c r="A102" s="3">
        <v>45068</v>
      </c>
      <c r="B102" s="3" t="str">
        <v>N:New Quotation</v>
      </c>
      <c r="C102" s="3" t="str">
        <v>P:P&amp;I</v>
      </c>
      <c r="D102" s="3">
        <f>D101+1</f>
        <v>275</v>
      </c>
      <c r="E102" s="3" t="str">
        <f>CONCAT("Q","/",LEFT(Table2[[#This Row],[Quotation Type]],1),"/", LEFT(Table2[[#This Row],[Branch]],1),"/", RIGHT(YEAR(TODAY()),2), "/",Table2[[#This Row],[Seq. Number]])</f>
        <v>Q/N/P/26/275</v>
      </c>
      <c r="F102" s="3" t="str">
        <v xml:space="preserve">Admiral Maritime Consultancy </v>
      </c>
      <c r="G102" s="3" t="str">
        <v>H M</v>
      </c>
      <c r="H102" s="3">
        <v>8859029</v>
      </c>
      <c r="I102" s="3" t="str">
        <v>GC</v>
      </c>
      <c r="J102" s="3" t="str">
        <v>Shady Saab</v>
      </c>
    </row>
    <row r="103">
      <c r="A103" s="3">
        <v>45069</v>
      </c>
      <c r="B103" s="3" t="str">
        <v>R:Renewal</v>
      </c>
      <c r="C103" s="3" t="str">
        <v>H:Hull</v>
      </c>
      <c r="D103" s="3">
        <f>D102+1</f>
        <v>276</v>
      </c>
      <c r="E103" s="3" t="str">
        <f>CONCAT("Q","/",LEFT(Table2[[#This Row],[Quotation Type]],1),"/", LEFT(Table2[[#This Row],[Branch]],1),"/", RIGHT(YEAR(TODAY()),2), "/",Table2[[#This Row],[Seq. Number]])</f>
        <v>Q/R/H/26/276</v>
      </c>
      <c r="F103" s="3" t="str">
        <v>Rana Maritime</v>
      </c>
      <c r="G103" s="3" t="str">
        <v>Al Farouk</v>
      </c>
      <c r="I103" s="3" t="str">
        <v>MLV</v>
      </c>
      <c r="J103" s="3" t="str">
        <v>Direct</v>
      </c>
    </row>
    <row r="104">
      <c r="A104" s="3">
        <v>45069</v>
      </c>
      <c r="B104" s="3" t="str">
        <v>R:Renewal</v>
      </c>
      <c r="C104" s="3" t="str">
        <v>P:P&amp;I</v>
      </c>
      <c r="D104" s="3">
        <f>D103+1</f>
        <v>277</v>
      </c>
      <c r="E104" s="3" t="str">
        <f>CONCAT("Q","/",LEFT(Table2[[#This Row],[Quotation Type]],1),"/", LEFT(Table2[[#This Row],[Branch]],1),"/", RIGHT(YEAR(TODAY()),2), "/",Table2[[#This Row],[Seq. Number]])</f>
        <v>Q/R/P/26/277</v>
      </c>
      <c r="F104" s="3" t="str">
        <v>Rana Maritime</v>
      </c>
      <c r="G104" s="3" t="str">
        <v>Al Farouk</v>
      </c>
      <c r="I104" s="3" t="str">
        <v>MLV</v>
      </c>
      <c r="J104" s="3" t="str">
        <v>Direct</v>
      </c>
    </row>
    <row r="105">
      <c r="A105" s="3">
        <v>45069</v>
      </c>
      <c r="B105" s="3" t="str">
        <v>N:New Quotation</v>
      </c>
      <c r="C105" s="3" t="str">
        <v>H:Hull</v>
      </c>
      <c r="D105" s="3">
        <f>D104+1</f>
        <v>278</v>
      </c>
      <c r="E105" s="3" t="str">
        <f>CONCAT("Q","/",LEFT(Table2[[#This Row],[Quotation Type]],1),"/", LEFT(Table2[[#This Row],[Branch]],1),"/", RIGHT(YEAR(TODAY()),2), "/",Table2[[#This Row],[Seq. Number]])</f>
        <v>Q/N/H/26/278</v>
      </c>
      <c r="F105" s="3" t="str">
        <v>Zulu Marine Services &amp; Trade FZE</v>
      </c>
      <c r="G105" s="3" t="str">
        <v>SSL Ganga</v>
      </c>
      <c r="H105" s="3">
        <v>9256406</v>
      </c>
      <c r="I105" s="3" t="str">
        <v>Container</v>
      </c>
      <c r="J105" s="3" t="str">
        <v>City</v>
      </c>
    </row>
    <row r="106">
      <c r="A106" s="3">
        <v>45072</v>
      </c>
      <c r="B106" s="3" t="str">
        <v>R:Renewal</v>
      </c>
      <c r="C106" s="3" t="str">
        <v>H:Hull</v>
      </c>
      <c r="D106" s="3">
        <f>D105+1</f>
        <v>279</v>
      </c>
      <c r="E106" s="3" t="str">
        <f>CONCAT("Q","/",LEFT(Table2[[#This Row],[Quotation Type]],1),"/", LEFT(Table2[[#This Row],[Branch]],1),"/", RIGHT(YEAR(TODAY()),2), "/",Table2[[#This Row],[Seq. Number]])</f>
        <v>Q/R/H/26/279</v>
      </c>
      <c r="G106" s="3" t="str">
        <v>Abdulrahman King</v>
      </c>
      <c r="I106" s="3" t="str">
        <v>MLV</v>
      </c>
      <c r="J106" s="3" t="str">
        <v>Direct</v>
      </c>
    </row>
    <row r="107">
      <c r="A107" s="3">
        <v>45072</v>
      </c>
      <c r="B107" s="3" t="str">
        <v>R:Renewal</v>
      </c>
      <c r="C107" s="3" t="str">
        <v>P:P&amp;I</v>
      </c>
      <c r="D107" s="3">
        <f>D106+1</f>
        <v>280</v>
      </c>
      <c r="E107" s="3" t="str">
        <f>CONCAT("Q","/",LEFT(Table2[[#This Row],[Quotation Type]],1),"/", LEFT(Table2[[#This Row],[Branch]],1),"/", RIGHT(YEAR(TODAY()),2), "/",Table2[[#This Row],[Seq. Number]])</f>
        <v>Q/R/P/26/280</v>
      </c>
      <c r="G107" s="3" t="str">
        <v>Abdulrahman King</v>
      </c>
      <c r="I107" s="3" t="str">
        <v>MLV</v>
      </c>
      <c r="J107" s="3" t="str">
        <v>Direct</v>
      </c>
    </row>
    <row r="108">
      <c r="A108" s="3">
        <v>45072</v>
      </c>
      <c r="B108" s="3" t="str">
        <v>R:Renewal</v>
      </c>
      <c r="C108" s="3" t="str">
        <v>H:Hull</v>
      </c>
      <c r="D108" s="3">
        <f>D107+1</f>
        <v>281</v>
      </c>
      <c r="E108" s="3" t="str">
        <f>CONCAT("Q","/",LEFT(Table2[[#This Row],[Quotation Type]],1),"/", LEFT(Table2[[#This Row],[Branch]],1),"/", RIGHT(YEAR(TODAY()),2), "/",Table2[[#This Row],[Seq. Number]])</f>
        <v>Q/R/H/26/281</v>
      </c>
      <c r="F108" s="3" t="str">
        <v xml:space="preserve">ABK Shipping management </v>
      </c>
      <c r="G108" s="3" t="str">
        <v>ABK Tiger</v>
      </c>
      <c r="H108" s="3">
        <v>9263760</v>
      </c>
      <c r="I108" s="3" t="str">
        <v>BC</v>
      </c>
      <c r="J108" s="3" t="str">
        <v>Sarnia</v>
      </c>
    </row>
    <row r="109">
      <c r="A109" s="3">
        <v>45072</v>
      </c>
      <c r="B109" s="3" t="str">
        <v>R:Renewal</v>
      </c>
      <c r="C109" s="3" t="str">
        <v>P:P&amp;I</v>
      </c>
      <c r="D109" s="3">
        <f>D108+1</f>
        <v>282</v>
      </c>
      <c r="E109" s="3" t="str">
        <f>CONCAT("Q","/",LEFT(Table2[[#This Row],[Quotation Type]],1),"/", LEFT(Table2[[#This Row],[Branch]],1),"/", RIGHT(YEAR(TODAY()),2), "/",Table2[[#This Row],[Seq. Number]])</f>
        <v>Q/R/P/26/282</v>
      </c>
      <c r="F109" s="3" t="str">
        <v>Rassem Shipping</v>
      </c>
      <c r="G109" s="3" t="str">
        <v>Britta K</v>
      </c>
      <c r="H109" s="3">
        <v>7368815</v>
      </c>
      <c r="I109" s="3" t="str">
        <v>MLV</v>
      </c>
      <c r="J109" s="3" t="str">
        <v>Direct</v>
      </c>
    </row>
    <row r="110">
      <c r="A110" s="3">
        <v>45075</v>
      </c>
      <c r="B110" s="3" t="str">
        <v>R:Renewal</v>
      </c>
      <c r="C110" s="3" t="str">
        <v>H:Hull</v>
      </c>
      <c r="D110" s="3">
        <f>D109+1</f>
        <v>283</v>
      </c>
      <c r="E110" s="3" t="str">
        <f>CONCAT("Q","/",LEFT(Table2[[#This Row],[Quotation Type]],1),"/", LEFT(Table2[[#This Row],[Branch]],1),"/", RIGHT(YEAR(TODAY()),2), "/",Table2[[#This Row],[Seq. Number]])</f>
        <v>Q/R/H/26/283</v>
      </c>
      <c r="F110" s="3" t="str">
        <v>Northstar Livestock Shipping</v>
      </c>
      <c r="G110" s="3" t="str">
        <v>North Star 1</v>
      </c>
      <c r="I110" s="3" t="str">
        <v>MLV</v>
      </c>
      <c r="J110" s="3" t="str">
        <v>Direct</v>
      </c>
    </row>
    <row r="111">
      <c r="A111" s="3">
        <v>45075</v>
      </c>
      <c r="B111" s="3" t="str">
        <v>R:Renewal</v>
      </c>
      <c r="C111" s="3" t="str">
        <v>P:P&amp;I</v>
      </c>
      <c r="D111" s="3">
        <f>D110+1</f>
        <v>284</v>
      </c>
      <c r="E111" s="3" t="str">
        <f>CONCAT("Q","/",LEFT(Table2[[#This Row],[Quotation Type]],1),"/", LEFT(Table2[[#This Row],[Branch]],1),"/", RIGHT(YEAR(TODAY()),2), "/",Table2[[#This Row],[Seq. Number]])</f>
        <v>Q/R/P/26/284</v>
      </c>
      <c r="F111" s="3" t="str">
        <v>Northstar Livestock Shipping</v>
      </c>
      <c r="G111" s="3" t="str">
        <v>North Star 1</v>
      </c>
      <c r="I111" s="3" t="str">
        <v>MLV</v>
      </c>
      <c r="J111" s="3" t="str">
        <v>Direct</v>
      </c>
    </row>
    <row r="112">
      <c r="A112" s="3">
        <v>45076</v>
      </c>
      <c r="B112" s="3" t="str">
        <v>A:Addition</v>
      </c>
      <c r="C112" s="3" t="str">
        <v>H:Hull</v>
      </c>
      <c r="D112" s="3">
        <f>D111+1</f>
        <v>285</v>
      </c>
      <c r="E112" s="3" t="str">
        <f>CONCAT("Q","/",LEFT(Table2[[#This Row],[Quotation Type]],1),"/", LEFT(Table2[[#This Row],[Branch]],1),"/", RIGHT(YEAR(TODAY()),2), "/",Table2[[#This Row],[Seq. Number]])</f>
        <v>Q/A/H/26/285</v>
      </c>
      <c r="F112" s="3" t="str">
        <v>Costalina</v>
      </c>
      <c r="G112" s="3" t="str">
        <v>Theodore</v>
      </c>
      <c r="I112" s="3" t="str">
        <v>BC</v>
      </c>
      <c r="J112" s="3" t="str">
        <v>City</v>
      </c>
    </row>
    <row r="113">
      <c r="A113" s="3">
        <v>45076</v>
      </c>
      <c r="B113" s="3" t="str">
        <v>A:Addition</v>
      </c>
      <c r="C113" s="3" t="str">
        <v>W:War</v>
      </c>
      <c r="D113" s="3">
        <f>D112+1</f>
        <v>286</v>
      </c>
      <c r="E113" s="3" t="str">
        <f>CONCAT("Q","/",LEFT(Table2[[#This Row],[Quotation Type]],1),"/", LEFT(Table2[[#This Row],[Branch]],1),"/", RIGHT(YEAR(TODAY()),2), "/",Table2[[#This Row],[Seq. Number]])</f>
        <v>Q/A/W/26/286</v>
      </c>
      <c r="F113" s="3" t="str">
        <v>Costalina</v>
      </c>
      <c r="G113" s="3" t="str">
        <v>Theodore</v>
      </c>
      <c r="I113" s="3" t="str">
        <v>BC</v>
      </c>
      <c r="J113" s="3" t="str">
        <v>City</v>
      </c>
    </row>
    <row r="114">
      <c r="A114" s="3">
        <v>45079</v>
      </c>
      <c r="B114" s="3" t="str">
        <v>A:Addition</v>
      </c>
      <c r="C114" s="3" t="str">
        <v>H:Hull</v>
      </c>
      <c r="D114" s="3">
        <f>D113+1</f>
        <v>287</v>
      </c>
      <c r="E114" s="3" t="str">
        <f>CONCAT("Q","/",LEFT(Table2[[#This Row],[Quotation Type]],1),"/", LEFT(Table2[[#This Row],[Branch]],1),"/", RIGHT(YEAR(TODAY()),2), "/",Table2[[#This Row],[Seq. Number]])</f>
        <v>Q/A/H/26/287</v>
      </c>
      <c r="F114" s="3" t="str">
        <v>Osman Denizclik</v>
      </c>
      <c r="G114" s="3" t="str">
        <v>Elif S</v>
      </c>
      <c r="H114" s="3">
        <v>8517293</v>
      </c>
      <c r="I114" s="3" t="str">
        <v>GC</v>
      </c>
      <c r="J114" s="3" t="str">
        <v>Sarnia</v>
      </c>
    </row>
    <row r="115">
      <c r="A115" s="3">
        <v>45079</v>
      </c>
      <c r="B115" s="3" t="str">
        <v>A:Addition</v>
      </c>
      <c r="C115" s="3" t="str">
        <v>W:War</v>
      </c>
      <c r="D115" s="3">
        <f>D114+1</f>
        <v>288</v>
      </c>
      <c r="E115" s="3" t="str">
        <f>CONCAT("Q","/",LEFT(Table2[[#This Row],[Quotation Type]],1),"/", LEFT(Table2[[#This Row],[Branch]],1),"/", RIGHT(YEAR(TODAY()),2), "/",Table2[[#This Row],[Seq. Number]])</f>
        <v>Q/A/W/26/288</v>
      </c>
      <c r="F115" s="3" t="str">
        <v>Osman Denizclik</v>
      </c>
      <c r="G115" s="3" t="str">
        <v>Elif S</v>
      </c>
      <c r="H115" s="3">
        <v>8517293</v>
      </c>
      <c r="I115" s="3" t="str">
        <v>GC</v>
      </c>
      <c r="J115" s="3" t="str">
        <v>Sarnia</v>
      </c>
    </row>
    <row r="116">
      <c r="A116" s="3">
        <v>45079</v>
      </c>
      <c r="B116" s="3" t="str">
        <v>R:Renewal</v>
      </c>
      <c r="C116" s="3" t="str">
        <v>H:Hull</v>
      </c>
      <c r="D116" s="3">
        <f>D115+1</f>
        <v>289</v>
      </c>
      <c r="E116" s="3" t="str">
        <f>CONCAT("Q","/",LEFT(Table2[[#This Row],[Quotation Type]],1),"/", LEFT(Table2[[#This Row],[Branch]],1),"/", RIGHT(YEAR(TODAY()),2), "/",Table2[[#This Row],[Seq. Number]])</f>
        <v>Q/R/H/26/289</v>
      </c>
      <c r="F116" s="3" t="str">
        <v>Iktra Shipping</v>
      </c>
      <c r="J116" s="3" t="str">
        <v>IPIC</v>
      </c>
    </row>
    <row r="117">
      <c r="A117" s="3">
        <v>45084</v>
      </c>
      <c r="B117" s="3" t="str">
        <v>N:New Quotation</v>
      </c>
      <c r="C117" s="3" t="str">
        <v>H:Hull</v>
      </c>
      <c r="D117" s="3">
        <f>D116+1</f>
        <v>290</v>
      </c>
      <c r="E117" s="3" t="str">
        <f>CONCAT("Q","/",LEFT(Table2[[#This Row],[Quotation Type]],1),"/", LEFT(Table2[[#This Row],[Branch]],1),"/", RIGHT(YEAR(TODAY()),2), "/",Table2[[#This Row],[Seq. Number]])</f>
        <v>Q/N/H/26/290</v>
      </c>
      <c r="F117" s="3" t="str">
        <v>Seacrest Marine Services</v>
      </c>
      <c r="G117" s="3" t="str">
        <v>Aquila</v>
      </c>
      <c r="H117" s="3">
        <v>8714891</v>
      </c>
      <c r="I117" s="3" t="str">
        <v>Tug</v>
      </c>
      <c r="J117" s="3" t="str">
        <v>IPIC</v>
      </c>
    </row>
    <row r="118">
      <c r="A118" s="3">
        <v>45084</v>
      </c>
      <c r="B118" s="3" t="str">
        <v>N:New Quotation</v>
      </c>
      <c r="C118" s="3" t="str">
        <v>H:Hull</v>
      </c>
      <c r="D118" s="3">
        <f>D117+1</f>
        <v>291</v>
      </c>
      <c r="E118" s="3" t="str">
        <f>CONCAT("Q","/",LEFT(Table2[[#This Row],[Quotation Type]],1),"/", LEFT(Table2[[#This Row],[Branch]],1),"/", RIGHT(YEAR(TODAY()),2), "/",Table2[[#This Row],[Seq. Number]])</f>
        <v>Q/N/H/26/291</v>
      </c>
      <c r="F118" s="3" t="str">
        <v>Amba Shipping</v>
      </c>
      <c r="I118" s="3" t="str">
        <v>Barges</v>
      </c>
      <c r="J118" s="3" t="str">
        <v>City</v>
      </c>
    </row>
    <row r="119">
      <c r="A119" s="3">
        <v>45089</v>
      </c>
      <c r="B119" s="3" t="str">
        <v>N:New Quotation</v>
      </c>
      <c r="C119" s="3" t="str">
        <v>H:Hull</v>
      </c>
      <c r="D119" s="3">
        <f>D118+1</f>
        <v>292</v>
      </c>
      <c r="E119" s="3" t="str">
        <f>CONCAT("Q","/",LEFT(Table2[[#This Row],[Quotation Type]],1),"/", LEFT(Table2[[#This Row],[Branch]],1),"/", RIGHT(YEAR(TODAY()),2), "/",Table2[[#This Row],[Seq. Number]])</f>
        <v>Q/N/H/26/292</v>
      </c>
      <c r="F119" s="3" t="str">
        <v>London Tower Shipping</v>
      </c>
      <c r="G119" s="3" t="str">
        <v>Portland Bay</v>
      </c>
      <c r="H119" s="3">
        <v>9276200</v>
      </c>
      <c r="I119" s="3" t="str">
        <v>BC</v>
      </c>
      <c r="J119" s="3" t="str">
        <v>Sarnia</v>
      </c>
    </row>
    <row r="120">
      <c r="A120" s="3">
        <v>45090</v>
      </c>
      <c r="B120" s="3" t="str">
        <v>N:New Quotation</v>
      </c>
      <c r="C120" s="3" t="str">
        <v>W:War</v>
      </c>
      <c r="D120" s="3">
        <f>D119+1</f>
        <v>293</v>
      </c>
      <c r="E120" s="3" t="str">
        <f>CONCAT("Q","/",LEFT(Table2[[#This Row],[Quotation Type]],1),"/", LEFT(Table2[[#This Row],[Branch]],1),"/", RIGHT(YEAR(TODAY()),2), "/",Table2[[#This Row],[Seq. Number]])</f>
        <v>Q/N/W/26/293</v>
      </c>
      <c r="F120" s="3" t="str">
        <v>London Tower Shipping</v>
      </c>
      <c r="G120" s="3" t="str">
        <v>Portland Bay</v>
      </c>
      <c r="H120" s="3">
        <v>9276200</v>
      </c>
      <c r="I120" s="3" t="str">
        <v>BC</v>
      </c>
      <c r="J120" s="3" t="str">
        <v>Sarnia</v>
      </c>
    </row>
    <row r="121">
      <c r="A121" s="3">
        <v>45090</v>
      </c>
      <c r="B121" s="3" t="str">
        <v>N:New Quotation</v>
      </c>
      <c r="C121" s="3" t="str">
        <v>H:Hull</v>
      </c>
      <c r="D121" s="3">
        <f>D120+1</f>
        <v>294</v>
      </c>
      <c r="E121" s="3" t="str">
        <f>CONCAT("Q","/",LEFT(Table2[[#This Row],[Quotation Type]],1),"/", LEFT(Table2[[#This Row],[Branch]],1),"/", RIGHT(YEAR(TODAY()),2), "/",Table2[[#This Row],[Seq. Number]])</f>
        <v>Q/N/H/26/294</v>
      </c>
      <c r="F121" s="3" t="str">
        <v>Zen Shipping</v>
      </c>
      <c r="G121" s="3" t="str">
        <v>Chem</v>
      </c>
      <c r="H121" s="3">
        <v>9240914</v>
      </c>
      <c r="I121" s="3" t="str">
        <v>O/T</v>
      </c>
      <c r="J121" s="3" t="str">
        <v>City</v>
      </c>
    </row>
    <row r="122">
      <c r="A122" s="3">
        <v>45091</v>
      </c>
      <c r="B122" s="3" t="str">
        <v>R:Renewal</v>
      </c>
      <c r="C122" s="3" t="str">
        <v>H:Hull</v>
      </c>
      <c r="D122" s="3">
        <f>D121+1</f>
        <v>295</v>
      </c>
      <c r="E122" s="3" t="str">
        <f>CONCAT("Q","/",LEFT(Table2[[#This Row],[Quotation Type]],1),"/", LEFT(Table2[[#This Row],[Branch]],1),"/", RIGHT(YEAR(TODAY()),2), "/",Table2[[#This Row],[Seq. Number]])</f>
        <v>Q/R/H/26/295</v>
      </c>
      <c r="F122" s="3" t="str">
        <v>Blue Bay</v>
      </c>
      <c r="I122" s="3" t="str">
        <v>GC</v>
      </c>
      <c r="J122" s="3" t="str">
        <v>Brandenburg</v>
      </c>
    </row>
    <row r="123">
      <c r="A123" s="3">
        <v>45092</v>
      </c>
      <c r="B123" s="3" t="str">
        <v>R:Renewal</v>
      </c>
      <c r="C123" s="3" t="str">
        <v>H:Hull</v>
      </c>
      <c r="D123" s="3">
        <f>D122+1</f>
        <v>296</v>
      </c>
      <c r="E123" s="3" t="str">
        <f>CONCAT("Q","/",LEFT(Table2[[#This Row],[Quotation Type]],1),"/", LEFT(Table2[[#This Row],[Branch]],1),"/", RIGHT(YEAR(TODAY()),2), "/",Table2[[#This Row],[Seq. Number]])</f>
        <v>Q/R/H/26/296</v>
      </c>
      <c r="F123" s="3" t="str">
        <v>SSS</v>
      </c>
      <c r="G123" s="3" t="str">
        <v>Princess Noria</v>
      </c>
      <c r="I123" s="3" t="str">
        <v>O/T</v>
      </c>
      <c r="J123" s="3" t="str">
        <v>SSS</v>
      </c>
    </row>
    <row r="124">
      <c r="A124" s="3">
        <v>45092</v>
      </c>
      <c r="B124" s="3" t="str">
        <v>R:Renewal</v>
      </c>
      <c r="C124" s="3" t="str">
        <v>W:War</v>
      </c>
      <c r="D124" s="3">
        <f>D123+1</f>
        <v>297</v>
      </c>
      <c r="E124" s="3" t="str">
        <f>CONCAT("Q","/",LEFT(Table2[[#This Row],[Quotation Type]],1),"/", LEFT(Table2[[#This Row],[Branch]],1),"/", RIGHT(YEAR(TODAY()),2), "/",Table2[[#This Row],[Seq. Number]])</f>
        <v>Q/R/W/26/297</v>
      </c>
      <c r="F124" s="3" t="str">
        <v>SSS</v>
      </c>
      <c r="G124" s="3" t="str">
        <v>Princess Noria</v>
      </c>
      <c r="I124" s="3" t="str">
        <v>O/T</v>
      </c>
      <c r="J124" s="3" t="str">
        <v>SSS</v>
      </c>
    </row>
    <row r="125">
      <c r="A125" s="3">
        <v>45092</v>
      </c>
      <c r="B125" s="3" t="str">
        <v>N:New Quotation</v>
      </c>
      <c r="C125" s="3" t="str">
        <v>P:P&amp;I</v>
      </c>
      <c r="D125" s="3">
        <f>D124+1</f>
        <v>298</v>
      </c>
      <c r="E125" s="3" t="str">
        <f>CONCAT("Q","/",LEFT(Table2[[#This Row],[Quotation Type]],1),"/", LEFT(Table2[[#This Row],[Branch]],1),"/", RIGHT(YEAR(TODAY()),2), "/",Table2[[#This Row],[Seq. Number]])</f>
        <v>Q/N/P/26/298</v>
      </c>
      <c r="F125" s="3" t="str">
        <v>GMZ Shipmanagement</v>
      </c>
      <c r="G125" s="3" t="str">
        <v>Sea Lord/Sea breeze</v>
      </c>
      <c r="I125" s="3" t="str">
        <v>GC</v>
      </c>
      <c r="J125" s="3" t="str">
        <v>Sarnia</v>
      </c>
    </row>
    <row r="126">
      <c r="A126" s="3">
        <v>45092</v>
      </c>
      <c r="B126" s="3" t="str">
        <v>N:New Quotation</v>
      </c>
      <c r="C126" s="3" t="str">
        <v>H:Hull</v>
      </c>
      <c r="D126" s="3">
        <f>D125+1</f>
        <v>299</v>
      </c>
      <c r="E126" s="3" t="str">
        <f>CONCAT("Q","/",LEFT(Table2[[#This Row],[Quotation Type]],1),"/", LEFT(Table2[[#This Row],[Branch]],1),"/", RIGHT(YEAR(TODAY()),2), "/",Table2[[#This Row],[Seq. Number]])</f>
        <v>Q/N/H/26/299</v>
      </c>
      <c r="F126" s="3" t="str">
        <v>Alb Sea Transport SHPK</v>
      </c>
      <c r="G126" s="3" t="str">
        <v>Kledes Mary</v>
      </c>
      <c r="H126" s="3">
        <v>9133537</v>
      </c>
      <c r="I126" s="3" t="str">
        <v>GC</v>
      </c>
      <c r="J126" s="3" t="str">
        <v>Kuzey</v>
      </c>
    </row>
    <row r="127">
      <c r="A127" s="3">
        <v>45092</v>
      </c>
      <c r="B127" s="3" t="str">
        <v>N:New Quotation</v>
      </c>
      <c r="C127" s="3" t="str">
        <v>P:P&amp;I</v>
      </c>
      <c r="D127" s="3">
        <f>D126+1</f>
        <v>300</v>
      </c>
      <c r="E127" s="3" t="str">
        <f>CONCAT("Q","/",LEFT(Table2[[#This Row],[Quotation Type]],1),"/", LEFT(Table2[[#This Row],[Branch]],1),"/", RIGHT(YEAR(TODAY()),2), "/",Table2[[#This Row],[Seq. Number]])</f>
        <v>Q/N/P/26/300</v>
      </c>
      <c r="F127" s="3" t="str">
        <v>GMZ Shipmanagement</v>
      </c>
      <c r="G127" s="3" t="str">
        <v>Sea Lord/Sea breeze</v>
      </c>
      <c r="H127" s="3">
        <v>9133537</v>
      </c>
      <c r="I127" s="3" t="str">
        <v>GC</v>
      </c>
      <c r="J127" s="3" t="str">
        <v>Kuzey</v>
      </c>
    </row>
    <row r="128">
      <c r="A128" s="3">
        <v>45092</v>
      </c>
      <c r="B128" s="3" t="str">
        <v>N:New Quotation</v>
      </c>
      <c r="C128" s="3" t="str">
        <v>P:P&amp;I</v>
      </c>
      <c r="D128" s="3">
        <f>D127+1</f>
        <v>301</v>
      </c>
      <c r="E128" s="3" t="str">
        <f>CONCAT("Q","/",LEFT(Table2[[#This Row],[Quotation Type]],1),"/", LEFT(Table2[[#This Row],[Branch]],1),"/", RIGHT(YEAR(TODAY()),2), "/",Table2[[#This Row],[Seq. Number]])</f>
        <v>Q/N/P/26/301</v>
      </c>
      <c r="F128" s="3" t="str">
        <v>Profy Shipmanagement Company</v>
      </c>
      <c r="I128" s="3" t="str">
        <v>GC</v>
      </c>
      <c r="J128" s="3" t="str">
        <v>Kuzey</v>
      </c>
    </row>
    <row r="129">
      <c r="A129" s="3">
        <v>45093</v>
      </c>
      <c r="B129" s="3" t="str">
        <v>N:New Quotation</v>
      </c>
      <c r="C129" s="3" t="str">
        <v>P:P&amp;I</v>
      </c>
      <c r="D129" s="3">
        <f>D128+1</f>
        <v>302</v>
      </c>
      <c r="E129" s="3" t="str">
        <f>CONCAT("Q","/",LEFT(Table2[[#This Row],[Quotation Type]],1),"/", LEFT(Table2[[#This Row],[Branch]],1),"/", RIGHT(YEAR(TODAY()),2), "/",Table2[[#This Row],[Seq. Number]])</f>
        <v>Q/N/P/26/302</v>
      </c>
      <c r="F129" s="3" t="str">
        <v>Cairo Shipping</v>
      </c>
      <c r="I129" s="3" t="str">
        <v>GC</v>
      </c>
      <c r="J129" s="3" t="str">
        <v>Kuzey</v>
      </c>
    </row>
    <row r="130">
      <c r="A130" s="3">
        <v>45096</v>
      </c>
      <c r="B130" s="3" t="str">
        <v>R:Renewal</v>
      </c>
      <c r="C130" s="3" t="str">
        <v>H:Hull</v>
      </c>
      <c r="D130" s="3">
        <f>D129+1</f>
        <v>303</v>
      </c>
      <c r="E130" s="3" t="str">
        <f>CONCAT("Q","/",LEFT(Table2[[#This Row],[Quotation Type]],1),"/", LEFT(Table2[[#This Row],[Branch]],1),"/", RIGHT(YEAR(TODAY()),2), "/",Table2[[#This Row],[Seq. Number]])</f>
        <v>Q/R/H/26/303</v>
      </c>
      <c r="F130" s="3" t="str">
        <v>Lightship Management</v>
      </c>
      <c r="G130" s="3" t="str">
        <v>Elza</v>
      </c>
      <c r="H130" s="3">
        <v>9221671</v>
      </c>
      <c r="I130" s="3" t="str">
        <v>O/T</v>
      </c>
      <c r="J130" s="3" t="str">
        <v>Kominsur</v>
      </c>
    </row>
    <row r="131">
      <c r="A131" s="3">
        <v>45096</v>
      </c>
      <c r="B131" s="3" t="str">
        <v>R:Renewal</v>
      </c>
      <c r="C131" s="3" t="str">
        <v>W:War</v>
      </c>
      <c r="D131" s="3">
        <f>D130+1</f>
        <v>304</v>
      </c>
      <c r="E131" s="3" t="str">
        <f>CONCAT("Q","/",LEFT(Table2[[#This Row],[Quotation Type]],1),"/", LEFT(Table2[[#This Row],[Branch]],1),"/", RIGHT(YEAR(TODAY()),2), "/",Table2[[#This Row],[Seq. Number]])</f>
        <v>Q/R/W/26/304</v>
      </c>
      <c r="F131" s="3" t="str">
        <v>Lightship Management</v>
      </c>
      <c r="G131" s="3" t="str">
        <v>Elza</v>
      </c>
      <c r="H131" s="3">
        <v>9221671</v>
      </c>
      <c r="I131" s="3" t="str">
        <v>O/T</v>
      </c>
      <c r="J131" s="3" t="str">
        <v>Kominsur</v>
      </c>
    </row>
    <row r="132">
      <c r="A132" s="3">
        <v>45096</v>
      </c>
      <c r="B132" s="3" t="str">
        <v>N:New Quotation</v>
      </c>
      <c r="C132" s="3" t="str">
        <v>P:P&amp;I</v>
      </c>
      <c r="D132" s="3">
        <f>D131+1</f>
        <v>305</v>
      </c>
      <c r="E132" s="3" t="str">
        <f>CONCAT("Q","/",LEFT(Table2[[#This Row],[Quotation Type]],1),"/", LEFT(Table2[[#This Row],[Branch]],1),"/", RIGHT(YEAR(TODAY()),2), "/",Table2[[#This Row],[Seq. Number]])</f>
        <v>Q/N/P/26/305</v>
      </c>
      <c r="F132" s="3" t="str">
        <v>Maridive</v>
      </c>
      <c r="G132" s="3" t="str">
        <v>Maridive 105</v>
      </c>
      <c r="I132" s="3" t="str">
        <v>Supply Vessel</v>
      </c>
      <c r="J132" s="3" t="str">
        <v>Mesco</v>
      </c>
    </row>
    <row r="133">
      <c r="A133" s="3">
        <v>45097</v>
      </c>
      <c r="B133" s="3" t="str">
        <v>N:New Quotation</v>
      </c>
      <c r="C133" s="3" t="str">
        <v>P:P&amp;I</v>
      </c>
      <c r="D133" s="3">
        <f>D132+1</f>
        <v>306</v>
      </c>
      <c r="E133" s="3" t="str">
        <f>CONCAT("Q","/",LEFT(Table2[[#This Row],[Quotation Type]],1),"/", LEFT(Table2[[#This Row],[Branch]],1),"/", RIGHT(YEAR(TODAY()),2), "/",Table2[[#This Row],[Seq. Number]])</f>
        <v>Q/N/P/26/306</v>
      </c>
      <c r="F133" s="3" t="str">
        <v>Amali Marine Services</v>
      </c>
      <c r="I133" s="3" t="str">
        <v>GC</v>
      </c>
      <c r="J133" s="3" t="str">
        <v>Sarnia</v>
      </c>
    </row>
    <row r="134">
      <c r="A134" s="3">
        <v>45098</v>
      </c>
      <c r="B134" s="3" t="str">
        <v>R:Renewal</v>
      </c>
      <c r="C134" s="3" t="str">
        <v>H:Hull</v>
      </c>
      <c r="D134" s="3">
        <f>D133+1</f>
        <v>307</v>
      </c>
      <c r="E134" s="3" t="str">
        <f>CONCAT("Q","/",LEFT(Table2[[#This Row],[Quotation Type]],1),"/", LEFT(Table2[[#This Row],[Branch]],1),"/", RIGHT(YEAR(TODAY()),2), "/",Table2[[#This Row],[Seq. Number]])</f>
        <v>Q/R/H/26/307</v>
      </c>
      <c r="F134" s="3" t="str">
        <v>RTSS</v>
      </c>
      <c r="G134" s="3" t="str">
        <v>LSS Success</v>
      </c>
      <c r="I134" s="3" t="str">
        <v>MLV</v>
      </c>
      <c r="J134" s="3" t="str">
        <v>City</v>
      </c>
    </row>
    <row r="135">
      <c r="A135" s="3">
        <v>45098</v>
      </c>
      <c r="B135" s="3" t="str">
        <v>R:Renewal</v>
      </c>
      <c r="C135" s="3" t="str">
        <v>W:War</v>
      </c>
      <c r="D135" s="3">
        <f>D134+1</f>
        <v>308</v>
      </c>
      <c r="E135" s="3" t="str">
        <f>CONCAT("Q","/",LEFT(Table2[[#This Row],[Quotation Type]],1),"/", LEFT(Table2[[#This Row],[Branch]],1),"/", RIGHT(YEAR(TODAY()),2), "/",Table2[[#This Row],[Seq. Number]])</f>
        <v>Q/R/W/26/308</v>
      </c>
      <c r="F135" s="3" t="str">
        <v>RTSS</v>
      </c>
      <c r="G135" s="3" t="str">
        <v>LSS Success</v>
      </c>
      <c r="I135" s="3" t="str">
        <v>MLV</v>
      </c>
      <c r="J135" s="3" t="str">
        <v>City</v>
      </c>
    </row>
    <row r="136">
      <c r="A136" s="3">
        <v>45098</v>
      </c>
      <c r="B136" s="3" t="str">
        <v>R:Renewal</v>
      </c>
      <c r="C136" s="3" t="str">
        <v>H:Hull</v>
      </c>
      <c r="D136" s="3">
        <f>D135+1</f>
        <v>309</v>
      </c>
      <c r="E136" s="3" t="str">
        <f>CONCAT("Q","/",LEFT(Table2[[#This Row],[Quotation Type]],1),"/", LEFT(Table2[[#This Row],[Branch]],1),"/", RIGHT(YEAR(TODAY()),2), "/",Table2[[#This Row],[Seq. Number]])</f>
        <v>Q/R/H/26/309</v>
      </c>
      <c r="F136" s="3" t="str">
        <v>Brothers Union</v>
      </c>
      <c r="J136" s="3" t="str">
        <v>Sarnia</v>
      </c>
    </row>
    <row r="137">
      <c r="A137" s="3">
        <v>45098</v>
      </c>
      <c r="B137" s="3" t="str">
        <v>R:Renewal</v>
      </c>
      <c r="C137" s="3" t="str">
        <v>H:Hull</v>
      </c>
      <c r="D137" s="3">
        <f>D136+1</f>
        <v>310</v>
      </c>
      <c r="E137" s="3" t="str">
        <f>CONCAT("Q","/",LEFT(Table2[[#This Row],[Quotation Type]],1),"/", LEFT(Table2[[#This Row],[Branch]],1),"/", RIGHT(YEAR(TODAY()),2), "/",Table2[[#This Row],[Seq. Number]])</f>
        <v>Q/R/H/26/310</v>
      </c>
      <c r="F137" s="3" t="str">
        <v>El Reedy Shipping</v>
      </c>
      <c r="I137" s="3" t="str">
        <v>BC</v>
      </c>
      <c r="J137" s="3" t="str">
        <v>Mesco</v>
      </c>
    </row>
    <row r="138">
      <c r="A138" s="3">
        <v>45098</v>
      </c>
      <c r="B138" s="3" t="str">
        <v>R:Renewal</v>
      </c>
      <c r="C138" s="3" t="str">
        <v>W:War</v>
      </c>
      <c r="D138" s="3">
        <f>D137+1</f>
        <v>311</v>
      </c>
      <c r="E138" s="3" t="str">
        <f>CONCAT("Q","/",LEFT(Table2[[#This Row],[Quotation Type]],1),"/", LEFT(Table2[[#This Row],[Branch]],1),"/", RIGHT(YEAR(TODAY()),2), "/",Table2[[#This Row],[Seq. Number]])</f>
        <v>Q/R/W/26/311</v>
      </c>
      <c r="F138" s="3" t="str">
        <v>El Reedy Shipping</v>
      </c>
      <c r="I138" s="3" t="str">
        <v>BC</v>
      </c>
      <c r="J138" s="3" t="str">
        <v>Mesco</v>
      </c>
    </row>
    <row r="139">
      <c r="A139" s="3">
        <v>45100</v>
      </c>
      <c r="B139" s="3" t="str">
        <v>N:New Quotation</v>
      </c>
      <c r="C139" s="3" t="str">
        <v>H:Hull</v>
      </c>
      <c r="D139" s="3">
        <f>D138+1</f>
        <v>312</v>
      </c>
      <c r="E139" s="3" t="str">
        <f>CONCAT("Q","/",LEFT(Table2[[#This Row],[Quotation Type]],1),"/", LEFT(Table2[[#This Row],[Branch]],1),"/", RIGHT(YEAR(TODAY()),2), "/",Table2[[#This Row],[Seq. Number]])</f>
        <v>Q/N/H/26/312</v>
      </c>
      <c r="F139" s="3" t="str">
        <v>SSS</v>
      </c>
      <c r="G139" s="3" t="str">
        <v>Polaris 1</v>
      </c>
      <c r="H139" s="3">
        <v>9577240</v>
      </c>
      <c r="I139" s="3" t="str">
        <v>Tug</v>
      </c>
      <c r="J139" s="3" t="str">
        <v>SSS</v>
      </c>
    </row>
    <row r="140">
      <c r="A140" s="3">
        <v>45103</v>
      </c>
      <c r="B140" s="3" t="str">
        <v>R:Renewal</v>
      </c>
      <c r="C140" s="3" t="str">
        <v>H:Hull</v>
      </c>
      <c r="D140" s="3">
        <f>D139+1</f>
        <v>313</v>
      </c>
      <c r="E140" s="3" t="str">
        <f>CONCAT("Q","/",LEFT(Table2[[#This Row],[Quotation Type]],1),"/", LEFT(Table2[[#This Row],[Branch]],1),"/", RIGHT(YEAR(TODAY()),2), "/",Table2[[#This Row],[Seq. Number]])</f>
        <v>Q/R/H/26/313</v>
      </c>
      <c r="F140" s="3" t="str">
        <v>Alfamarine</v>
      </c>
      <c r="G140" s="3" t="str">
        <v>Lily J - Hajh Ghsn J</v>
      </c>
      <c r="J140" s="3" t="str">
        <v>Direct</v>
      </c>
    </row>
    <row r="141">
      <c r="A141" s="3">
        <v>45103</v>
      </c>
      <c r="B141" s="3" t="str">
        <v>R:Renewal</v>
      </c>
      <c r="C141" s="3" t="str">
        <v>P:P&amp;I</v>
      </c>
      <c r="D141" s="3">
        <f>D140+1</f>
        <v>314</v>
      </c>
      <c r="E141" s="3" t="str">
        <f>CONCAT("Q","/",LEFT(Table2[[#This Row],[Quotation Type]],1),"/", LEFT(Table2[[#This Row],[Branch]],1),"/", RIGHT(YEAR(TODAY()),2), "/",Table2[[#This Row],[Seq. Number]])</f>
        <v>Q/R/P/26/314</v>
      </c>
      <c r="F141" s="3" t="str">
        <v>Alfamarine</v>
      </c>
      <c r="G141" s="3" t="str">
        <v>Lily J - Hajh Ghsn J</v>
      </c>
      <c r="J141" s="3" t="str">
        <v>Direct</v>
      </c>
    </row>
    <row r="142">
      <c r="A142" s="3">
        <v>45103</v>
      </c>
      <c r="B142" s="3" t="str">
        <v>R:Renewal</v>
      </c>
      <c r="C142" s="3" t="str">
        <v>W:War</v>
      </c>
      <c r="D142" s="3">
        <f>D141+1</f>
        <v>315</v>
      </c>
      <c r="E142" s="3" t="str">
        <f>CONCAT("Q","/",LEFT(Table2[[#This Row],[Quotation Type]],1),"/", LEFT(Table2[[#This Row],[Branch]],1),"/", RIGHT(YEAR(TODAY()),2), "/",Table2[[#This Row],[Seq. Number]])</f>
        <v>Q/R/W/26/315</v>
      </c>
      <c r="F142" s="3" t="str">
        <v>Alfamarine</v>
      </c>
      <c r="G142" s="3" t="str">
        <v>Lily J - Hajh Ghsn J</v>
      </c>
      <c r="J142" s="3" t="str">
        <v>Direct</v>
      </c>
    </row>
    <row r="143">
      <c r="A143" s="3">
        <v>45103</v>
      </c>
      <c r="B143" s="3" t="str">
        <v>N:New Quotation</v>
      </c>
      <c r="C143" s="3" t="str">
        <v>H:Hull</v>
      </c>
      <c r="D143" s="3">
        <f>D142+1</f>
        <v>316</v>
      </c>
      <c r="E143" s="3" t="str">
        <f>CONCAT("Q","/",LEFT(Table2[[#This Row],[Quotation Type]],1),"/", LEFT(Table2[[#This Row],[Branch]],1),"/", RIGHT(YEAR(TODAY()),2), "/",Table2[[#This Row],[Seq. Number]])</f>
        <v>Q/N/H/26/316</v>
      </c>
      <c r="F143" s="3" t="str">
        <v>Dragut Shipping</v>
      </c>
      <c r="I143" s="3" t="str">
        <v>GC</v>
      </c>
      <c r="J143" s="3" t="str">
        <v>Mesco</v>
      </c>
    </row>
    <row r="144">
      <c r="A144" s="3">
        <v>45103</v>
      </c>
      <c r="B144" s="3" t="str">
        <v>N:New Quotation</v>
      </c>
      <c r="C144" s="3" t="str">
        <v>P:P&amp;I</v>
      </c>
      <c r="D144" s="3">
        <f>D143+1</f>
        <v>317</v>
      </c>
      <c r="E144" s="3" t="str">
        <f>CONCAT("Q","/",LEFT(Table2[[#This Row],[Quotation Type]],1),"/", LEFT(Table2[[#This Row],[Branch]],1),"/", RIGHT(YEAR(TODAY()),2), "/",Table2[[#This Row],[Seq. Number]])</f>
        <v>Q/N/P/26/317</v>
      </c>
      <c r="F144" s="3" t="str">
        <v>Dragut Shipping</v>
      </c>
      <c r="I144" s="3" t="str">
        <v>GC</v>
      </c>
      <c r="J144" s="3" t="str">
        <v>Mesco</v>
      </c>
    </row>
    <row r="145">
      <c r="A145" s="3">
        <v>45103</v>
      </c>
      <c r="B145" s="3" t="str">
        <v>N:New Quotation</v>
      </c>
      <c r="C145" s="3" t="str">
        <v>H:Hull</v>
      </c>
      <c r="D145" s="3">
        <f>D144+1</f>
        <v>318</v>
      </c>
      <c r="E145" s="3" t="str">
        <f>CONCAT("Q","/",LEFT(Table2[[#This Row],[Quotation Type]],1),"/", LEFT(Table2[[#This Row],[Branch]],1),"/", RIGHT(YEAR(TODAY()),2), "/",Table2[[#This Row],[Seq. Number]])</f>
        <v>Q/N/H/26/318</v>
      </c>
      <c r="G145" s="3" t="str">
        <v>Dandian</v>
      </c>
      <c r="I145" s="3" t="str">
        <v>Crane</v>
      </c>
      <c r="J145" s="3" t="str">
        <v>IPIC</v>
      </c>
    </row>
    <row r="146">
      <c r="A146" s="3">
        <v>45108</v>
      </c>
      <c r="B146" s="3" t="str">
        <v>N:New Quotation</v>
      </c>
      <c r="C146" s="3" t="str">
        <v>H:Hull</v>
      </c>
      <c r="D146" s="3">
        <f>D145+1</f>
        <v>319</v>
      </c>
      <c r="E146" s="3" t="str">
        <f>CONCAT("Q","/",LEFT(Table2[[#This Row],[Quotation Type]],1),"/", LEFT(Table2[[#This Row],[Branch]],1),"/", RIGHT(YEAR(TODAY()),2), "/",Table2[[#This Row],[Seq. Number]])</f>
        <v>Q/N/H/26/319</v>
      </c>
      <c r="F146" s="3" t="str">
        <v>Reederei Lutz Jeske</v>
      </c>
      <c r="I146" s="3" t="str">
        <v>GC</v>
      </c>
      <c r="J146" s="3" t="str">
        <v>Kominsur</v>
      </c>
    </row>
    <row r="147">
      <c r="A147" s="3">
        <v>45110</v>
      </c>
      <c r="B147" s="3" t="str">
        <v>N:New Quotation</v>
      </c>
      <c r="C147" s="3" t="str">
        <v>P:P&amp;I</v>
      </c>
      <c r="D147" s="3">
        <f>D146+1</f>
        <v>320</v>
      </c>
      <c r="E147" s="3" t="str">
        <f>CONCAT("Q","/",LEFT(Table2[[#This Row],[Quotation Type]],1),"/", LEFT(Table2[[#This Row],[Branch]],1),"/", RIGHT(YEAR(TODAY()),2), "/",Table2[[#This Row],[Seq. Number]])</f>
        <v>Q/N/P/26/320</v>
      </c>
      <c r="F147" s="3" t="str">
        <v>Diamond Maritime</v>
      </c>
      <c r="I147" s="3" t="str">
        <v>MLV</v>
      </c>
      <c r="J147" s="3" t="str">
        <v>Sarnia</v>
      </c>
    </row>
    <row r="148">
      <c r="A148" s="3">
        <v>45111</v>
      </c>
      <c r="B148" s="3" t="str">
        <v>R:Renewal</v>
      </c>
      <c r="C148" s="3" t="str">
        <v>H:Hull</v>
      </c>
      <c r="D148" s="3">
        <f>D147+1</f>
        <v>321</v>
      </c>
      <c r="E148" s="3" t="str">
        <f>CONCAT("Q","/",LEFT(Table2[[#This Row],[Quotation Type]],1),"/", LEFT(Table2[[#This Row],[Branch]],1),"/", RIGHT(YEAR(TODAY()),2), "/",Table2[[#This Row],[Seq. Number]])</f>
        <v>Q/R/H/26/321</v>
      </c>
      <c r="F148" s="3" t="str">
        <v>Alacia Maritime</v>
      </c>
      <c r="G148" s="3" t="str">
        <v>Brave Knight</v>
      </c>
      <c r="I148" s="3" t="str">
        <v>GC</v>
      </c>
      <c r="J148" s="3" t="str">
        <v>Brandenburg</v>
      </c>
    </row>
    <row r="149">
      <c r="A149" s="3">
        <v>45111</v>
      </c>
      <c r="B149" s="3" t="str">
        <v>R:Renewal</v>
      </c>
      <c r="C149" s="3" t="str">
        <v>W:War</v>
      </c>
      <c r="D149" s="3">
        <f>D148+1</f>
        <v>322</v>
      </c>
      <c r="E149" s="3" t="str">
        <f>CONCAT("Q","/",LEFT(Table2[[#This Row],[Quotation Type]],1),"/", LEFT(Table2[[#This Row],[Branch]],1),"/", RIGHT(YEAR(TODAY()),2), "/",Table2[[#This Row],[Seq. Number]])</f>
        <v>Q/R/W/26/322</v>
      </c>
      <c r="F149" s="3" t="str">
        <v>Alacia Maritime</v>
      </c>
      <c r="G149" s="3" t="str">
        <v>Brave Knight</v>
      </c>
      <c r="I149" s="3" t="str">
        <v>GC</v>
      </c>
      <c r="J149" s="3" t="str">
        <v>Brandenburg</v>
      </c>
    </row>
    <row r="150">
      <c r="A150" s="3">
        <v>45111</v>
      </c>
      <c r="B150" s="3" t="str">
        <v>R:Renewal</v>
      </c>
      <c r="C150" s="3" t="str">
        <v>H:Hull</v>
      </c>
      <c r="D150" s="3">
        <f>D149+1</f>
        <v>323</v>
      </c>
      <c r="E150" s="3" t="str">
        <f>CONCAT("Q","/",LEFT(Table2[[#This Row],[Quotation Type]],1),"/", LEFT(Table2[[#This Row],[Branch]],1),"/", RIGHT(YEAR(TODAY()),2), "/",Table2[[#This Row],[Seq. Number]])</f>
        <v>Q/R/H/26/323</v>
      </c>
      <c r="F150" s="3" t="str">
        <v>Mansour Management</v>
      </c>
      <c r="J150" s="3" t="str">
        <v>Brandenburg</v>
      </c>
    </row>
    <row r="151">
      <c r="A151" s="3">
        <v>45111</v>
      </c>
      <c r="B151" s="3" t="str">
        <v>R:Renewal</v>
      </c>
      <c r="C151" s="3" t="str">
        <v>H:Hull</v>
      </c>
      <c r="D151" s="3">
        <f>D150+1</f>
        <v>324</v>
      </c>
      <c r="E151" s="3" t="str">
        <f>CONCAT("Q","/",LEFT(Table2[[#This Row],[Quotation Type]],1),"/", LEFT(Table2[[#This Row],[Branch]],1),"/", RIGHT(YEAR(TODAY()),2), "/",Table2[[#This Row],[Seq. Number]])</f>
        <v>Q/R/H/26/324</v>
      </c>
      <c r="F151" s="3" t="str">
        <v>Alacia Maritime</v>
      </c>
      <c r="G151" s="3" t="str">
        <v>Brave Knight</v>
      </c>
      <c r="I151" s="3" t="str">
        <v>GC</v>
      </c>
      <c r="J151" s="3" t="str">
        <v>Brandenburg</v>
      </c>
    </row>
    <row r="152">
      <c r="A152" s="3">
        <v>45111</v>
      </c>
      <c r="B152" s="3" t="str">
        <v>R:Renewal</v>
      </c>
      <c r="C152" s="3" t="str">
        <v>W:War</v>
      </c>
      <c r="D152" s="3">
        <f>D151+1</f>
        <v>325</v>
      </c>
      <c r="E152" s="3" t="str">
        <f>CONCAT("Q","/",LEFT(Table2[[#This Row],[Quotation Type]],1),"/", LEFT(Table2[[#This Row],[Branch]],1),"/", RIGHT(YEAR(TODAY()),2), "/",Table2[[#This Row],[Seq. Number]])</f>
        <v>Q/R/W/26/325</v>
      </c>
      <c r="F152" s="3" t="str">
        <v>Alacia Maritime</v>
      </c>
      <c r="G152" s="3" t="str">
        <v>Brave Knight</v>
      </c>
      <c r="I152" s="3" t="str">
        <v>GC</v>
      </c>
      <c r="J152" s="3" t="str">
        <v>Brandenburg</v>
      </c>
    </row>
    <row r="153">
      <c r="A153" s="3">
        <v>45111</v>
      </c>
      <c r="B153" s="3" t="str">
        <v>R:Renewal</v>
      </c>
      <c r="C153" s="3" t="str">
        <v>H:Hull</v>
      </c>
      <c r="D153" s="3">
        <f>D152+1</f>
        <v>326</v>
      </c>
      <c r="E153" s="3" t="str">
        <f>CONCAT("Q","/",LEFT(Table2[[#This Row],[Quotation Type]],1),"/", LEFT(Table2[[#This Row],[Branch]],1),"/", RIGHT(YEAR(TODAY()),2), "/",Table2[[#This Row],[Seq. Number]])</f>
        <v>Q/R/H/26/326</v>
      </c>
      <c r="F153" s="3" t="str">
        <v>North &amp; South</v>
      </c>
      <c r="J153" s="3" t="str">
        <v>ASM</v>
      </c>
    </row>
    <row r="154">
      <c r="A154" s="3">
        <v>45111</v>
      </c>
      <c r="B154" s="3" t="str">
        <v>R:Renewal</v>
      </c>
      <c r="C154" s="3" t="str">
        <v>H:Hull</v>
      </c>
      <c r="D154" s="3">
        <f>D153+1</f>
        <v>327</v>
      </c>
      <c r="E154" s="3" t="str">
        <f>CONCAT("Q","/",LEFT(Table2[[#This Row],[Quotation Type]],1),"/", LEFT(Table2[[#This Row],[Branch]],1),"/", RIGHT(YEAR(TODAY()),2), "/",Table2[[#This Row],[Seq. Number]])</f>
        <v>Q/R/H/26/327</v>
      </c>
      <c r="F154" s="3" t="str">
        <v>Hydromar</v>
      </c>
      <c r="J154" s="3" t="str">
        <v>ASM</v>
      </c>
    </row>
    <row r="155">
      <c r="A155" s="3">
        <v>45112</v>
      </c>
      <c r="B155" s="3" t="str">
        <v>N:New Quotation</v>
      </c>
      <c r="C155" s="3" t="str">
        <v>H:Hull</v>
      </c>
      <c r="D155" s="3">
        <f>D154+1</f>
        <v>328</v>
      </c>
      <c r="E155" s="3" t="str">
        <f>CONCAT("Q","/",LEFT(Table2[[#This Row],[Quotation Type]],1),"/", LEFT(Table2[[#This Row],[Branch]],1),"/", RIGHT(YEAR(TODAY()),2), "/",Table2[[#This Row],[Seq. Number]])</f>
        <v>Q/N/H/26/328</v>
      </c>
      <c r="F155" s="3" t="str">
        <v>Vista International Trading Co</v>
      </c>
      <c r="G155" s="3" t="str">
        <v>Walker</v>
      </c>
      <c r="I155" s="3" t="str">
        <v>GC</v>
      </c>
      <c r="J155" s="3" t="str">
        <v>IPIC</v>
      </c>
    </row>
    <row r="156">
      <c r="A156" s="3">
        <v>45112</v>
      </c>
      <c r="B156" s="3" t="str">
        <v>N:New Quotation</v>
      </c>
      <c r="C156" s="3" t="str">
        <v>H:Hull</v>
      </c>
      <c r="D156" s="3">
        <f>D155+1</f>
        <v>329</v>
      </c>
      <c r="E156" s="3" t="str">
        <f>CONCAT("Q","/",LEFT(Table2[[#This Row],[Quotation Type]],1),"/", LEFT(Table2[[#This Row],[Branch]],1),"/", RIGHT(YEAR(TODAY()),2), "/",Table2[[#This Row],[Seq. Number]])</f>
        <v>Q/N/H/26/329</v>
      </c>
      <c r="F156" s="3" t="str">
        <v xml:space="preserve">Livonia Shipping Company </v>
      </c>
      <c r="G156" s="3" t="str">
        <v>Oriole</v>
      </c>
      <c r="I156" s="3" t="str">
        <v>O/T</v>
      </c>
      <c r="J156" s="3" t="str">
        <v>Kuzey</v>
      </c>
    </row>
    <row r="157">
      <c r="A157" s="3">
        <v>45112</v>
      </c>
      <c r="B157" s="3" t="str">
        <v>R:Renewal</v>
      </c>
      <c r="C157" s="3" t="str">
        <v>P:P&amp;I</v>
      </c>
      <c r="D157" s="3">
        <f>D156+1</f>
        <v>330</v>
      </c>
      <c r="E157" s="3" t="str">
        <f>CONCAT("Q","/",LEFT(Table2[[#This Row],[Quotation Type]],1),"/", LEFT(Table2[[#This Row],[Branch]],1),"/", RIGHT(YEAR(TODAY()),2), "/",Table2[[#This Row],[Seq. Number]])</f>
        <v>Q/R/P/26/330</v>
      </c>
      <c r="F157" s="3" t="str">
        <v>SSS</v>
      </c>
      <c r="G157" s="3" t="str">
        <v>Hasan</v>
      </c>
      <c r="I157" s="3" t="str">
        <v>GC</v>
      </c>
      <c r="J157" s="3" t="str">
        <v>SSS</v>
      </c>
    </row>
    <row r="158">
      <c r="A158" s="3">
        <v>45112</v>
      </c>
      <c r="B158" s="3" t="str">
        <v>R:Renewal</v>
      </c>
      <c r="C158" s="3" t="str">
        <v>H:Hull</v>
      </c>
      <c r="D158" s="3">
        <f>D157+1</f>
        <v>331</v>
      </c>
      <c r="E158" s="3" t="str">
        <f>CONCAT("Q","/",LEFT(Table2[[#This Row],[Quotation Type]],1),"/", LEFT(Table2[[#This Row],[Branch]],1),"/", RIGHT(YEAR(TODAY()),2), "/",Table2[[#This Row],[Seq. Number]])</f>
        <v>Q/R/H/26/331</v>
      </c>
      <c r="F158" s="3" t="str">
        <v>United Marine Agency</v>
      </c>
      <c r="G158" s="3" t="str">
        <v>Margaux</v>
      </c>
      <c r="I158" s="3" t="str">
        <v>GC</v>
      </c>
      <c r="J158" s="3" t="str">
        <v>Direct</v>
      </c>
    </row>
    <row r="159">
      <c r="A159" s="3">
        <v>45112</v>
      </c>
      <c r="B159" s="3" t="str">
        <v>R:Renewal</v>
      </c>
      <c r="C159" s="3" t="str">
        <v>W:War</v>
      </c>
      <c r="D159" s="3">
        <f>D158+1</f>
        <v>332</v>
      </c>
      <c r="E159" s="3" t="str">
        <f>CONCAT("Q","/",LEFT(Table2[[#This Row],[Quotation Type]],1),"/", LEFT(Table2[[#This Row],[Branch]],1),"/", RIGHT(YEAR(TODAY()),2), "/",Table2[[#This Row],[Seq. Number]])</f>
        <v>Q/R/W/26/332</v>
      </c>
      <c r="F159" s="3" t="str">
        <v>United Marine Agency</v>
      </c>
      <c r="G159" s="3" t="str">
        <v>Margaux</v>
      </c>
      <c r="I159" s="3" t="str">
        <v>GC</v>
      </c>
      <c r="J159" s="3" t="str">
        <v>Direct</v>
      </c>
    </row>
    <row r="160">
      <c r="A160" s="3">
        <v>45112</v>
      </c>
      <c r="B160" s="3" t="str">
        <v>R:Renewal</v>
      </c>
      <c r="C160" s="3" t="str">
        <v>P:P&amp;I</v>
      </c>
      <c r="D160" s="3">
        <f>D159+1</f>
        <v>333</v>
      </c>
      <c r="E160" s="3" t="str">
        <f>CONCAT("Q","/",LEFT(Table2[[#This Row],[Quotation Type]],1),"/", LEFT(Table2[[#This Row],[Branch]],1),"/", RIGHT(YEAR(TODAY()),2), "/",Table2[[#This Row],[Seq. Number]])</f>
        <v>Q/R/P/26/333</v>
      </c>
      <c r="F160" s="3" t="str">
        <v>AMJ Marine</v>
      </c>
      <c r="G160" s="3" t="str">
        <v>Nader A</v>
      </c>
      <c r="I160" s="3" t="str">
        <v>MLV</v>
      </c>
      <c r="J160" s="3" t="str">
        <v>Direct</v>
      </c>
    </row>
    <row r="161">
      <c r="A161" s="3">
        <v>45112</v>
      </c>
      <c r="B161" s="3" t="str">
        <v>N:New Quotation</v>
      </c>
      <c r="C161" s="3" t="str">
        <v>H:Hull</v>
      </c>
      <c r="D161" s="3">
        <f>D160+1</f>
        <v>334</v>
      </c>
      <c r="E161" s="3" t="str">
        <f>CONCAT("Q","/",LEFT(Table2[[#This Row],[Quotation Type]],1),"/", LEFT(Table2[[#This Row],[Branch]],1),"/", RIGHT(YEAR(TODAY()),2), "/",Table2[[#This Row],[Seq. Number]])</f>
        <v>Q/N/H/26/334</v>
      </c>
      <c r="F161" s="3" t="str">
        <v xml:space="preserve">Livonia Shipping Company </v>
      </c>
      <c r="G161" s="3" t="str">
        <v>Oriole</v>
      </c>
      <c r="I161" s="3" t="str">
        <v>O/T</v>
      </c>
      <c r="J161" s="3" t="str">
        <v>IPIC</v>
      </c>
    </row>
    <row r="162">
      <c r="A162" s="3">
        <v>45112</v>
      </c>
      <c r="B162" s="3" t="str">
        <v>R:Renewal</v>
      </c>
      <c r="C162" s="3" t="str">
        <v>H:Hull</v>
      </c>
      <c r="D162" s="3">
        <f>D161+1</f>
        <v>335</v>
      </c>
      <c r="E162" s="3" t="str">
        <f>CONCAT("Q","/",LEFT(Table2[[#This Row],[Quotation Type]],1),"/", LEFT(Table2[[#This Row],[Branch]],1),"/", RIGHT(YEAR(TODAY()),2), "/",Table2[[#This Row],[Seq. Number]])</f>
        <v>Q/R/H/26/335</v>
      </c>
      <c r="F162" s="3" t="str">
        <v>Al Ayyat</v>
      </c>
      <c r="G162" s="3" t="str">
        <v>Taiba</v>
      </c>
      <c r="I162" s="3" t="str">
        <v>MLV</v>
      </c>
      <c r="J162" s="3" t="str">
        <v>Direct</v>
      </c>
    </row>
    <row r="163">
      <c r="A163" s="3">
        <v>45112</v>
      </c>
      <c r="B163" s="3" t="str">
        <v>R:Renewal</v>
      </c>
      <c r="C163" s="3" t="str">
        <v>P:P&amp;I</v>
      </c>
      <c r="D163" s="3">
        <f>D162+1</f>
        <v>336</v>
      </c>
      <c r="E163" s="3" t="str">
        <f>CONCAT("Q","/",LEFT(Table2[[#This Row],[Quotation Type]],1),"/", LEFT(Table2[[#This Row],[Branch]],1),"/", RIGHT(YEAR(TODAY()),2), "/",Table2[[#This Row],[Seq. Number]])</f>
        <v>Q/R/P/26/336</v>
      </c>
      <c r="F163" s="3" t="str">
        <v>Bernard Shipping</v>
      </c>
      <c r="G163" s="3" t="str">
        <v>Princess Mariam</v>
      </c>
      <c r="I163" s="3" t="str">
        <v>GC</v>
      </c>
      <c r="J163" s="3" t="str">
        <v>Direct</v>
      </c>
    </row>
    <row r="164">
      <c r="A164" s="3">
        <v>45112</v>
      </c>
      <c r="B164" s="3" t="str">
        <v>R:Renewal</v>
      </c>
      <c r="C164" s="3" t="str">
        <v>H:Hull</v>
      </c>
      <c r="D164" s="3">
        <f>D163+1</f>
        <v>337</v>
      </c>
      <c r="E164" s="3" t="str">
        <f>CONCAT("Q","/",LEFT(Table2[[#This Row],[Quotation Type]],1),"/", LEFT(Table2[[#This Row],[Branch]],1),"/", RIGHT(YEAR(TODAY()),2), "/",Table2[[#This Row],[Seq. Number]])</f>
        <v>Q/R/H/26/337</v>
      </c>
      <c r="F164" s="3" t="str">
        <v>Unimar Livestock</v>
      </c>
      <c r="G164" s="3" t="str">
        <v>Unimar Livestock</v>
      </c>
      <c r="I164" s="3" t="str">
        <v>MLV</v>
      </c>
      <c r="J164" s="3" t="str">
        <v>Direct</v>
      </c>
    </row>
    <row r="165">
      <c r="A165" s="3">
        <v>45112</v>
      </c>
      <c r="B165" s="3" t="str">
        <v>R:Renewal</v>
      </c>
      <c r="C165" s="3" t="str">
        <v>P:P&amp;I</v>
      </c>
      <c r="D165" s="3">
        <f>D164+1</f>
        <v>338</v>
      </c>
      <c r="E165" s="3" t="str">
        <f>CONCAT("Q","/",LEFT(Table2[[#This Row],[Quotation Type]],1),"/", LEFT(Table2[[#This Row],[Branch]],1),"/", RIGHT(YEAR(TODAY()),2), "/",Table2[[#This Row],[Seq. Number]])</f>
        <v>Q/R/P/26/338</v>
      </c>
      <c r="F165" s="3" t="str">
        <v>Unimar Livestock</v>
      </c>
      <c r="G165" s="3" t="str">
        <v>Unimar Livestock</v>
      </c>
      <c r="I165" s="3" t="str">
        <v>MLV</v>
      </c>
      <c r="J165" s="3" t="str">
        <v>Direct</v>
      </c>
    </row>
    <row r="166">
      <c r="A166" s="3">
        <v>45112</v>
      </c>
      <c r="B166" s="3" t="str">
        <v>R:Renewal</v>
      </c>
      <c r="C166" s="3" t="str">
        <v>W:War</v>
      </c>
      <c r="D166" s="3">
        <f>D165+1</f>
        <v>339</v>
      </c>
      <c r="E166" s="3" t="str">
        <f>CONCAT("Q","/",LEFT(Table2[[#This Row],[Quotation Type]],1),"/", LEFT(Table2[[#This Row],[Branch]],1),"/", RIGHT(YEAR(TODAY()),2), "/",Table2[[#This Row],[Seq. Number]])</f>
        <v>Q/R/W/26/339</v>
      </c>
      <c r="F166" s="3" t="str">
        <v>Unimar Livestock</v>
      </c>
      <c r="G166" s="3" t="str">
        <v>Unimar Livestock</v>
      </c>
      <c r="I166" s="3" t="str">
        <v>MLV</v>
      </c>
      <c r="J166" s="3" t="str">
        <v>Direct</v>
      </c>
    </row>
    <row r="167">
      <c r="A167" s="3">
        <v>45113</v>
      </c>
      <c r="B167" s="3" t="str">
        <v>N:New Quotation</v>
      </c>
      <c r="C167" s="3" t="str">
        <v>H:Hull</v>
      </c>
      <c r="D167" s="3">
        <f>D166+1</f>
        <v>340</v>
      </c>
      <c r="E167" s="3" t="str">
        <f>CONCAT("Q","/",LEFT(Table2[[#This Row],[Quotation Type]],1),"/", LEFT(Table2[[#This Row],[Branch]],1),"/", RIGHT(YEAR(TODAY()),2), "/",Table2[[#This Row],[Seq. Number]])</f>
        <v>Q/N/H/26/340</v>
      </c>
      <c r="F167" s="3" t="str">
        <v>Nautilus Shipping</v>
      </c>
      <c r="G167" s="3" t="str">
        <v>Eternal Light</v>
      </c>
      <c r="I167" s="3" t="str">
        <v>Ro-Ro</v>
      </c>
      <c r="J167" s="3" t="str">
        <v>Marsh</v>
      </c>
    </row>
    <row r="168">
      <c r="A168" s="3">
        <v>45113</v>
      </c>
      <c r="B168" s="3" t="str">
        <v>N:New Quotation</v>
      </c>
      <c r="C168" s="3" t="str">
        <v>P:P&amp;I</v>
      </c>
      <c r="D168" s="3">
        <f>D167+1</f>
        <v>341</v>
      </c>
      <c r="E168" s="3" t="str">
        <f>CONCAT("Q","/",LEFT(Table2[[#This Row],[Quotation Type]],1),"/", LEFT(Table2[[#This Row],[Branch]],1),"/", RIGHT(YEAR(TODAY()),2), "/",Table2[[#This Row],[Seq. Number]])</f>
        <v>Q/N/P/26/341</v>
      </c>
      <c r="F168" s="3" t="str">
        <v>Mina Group</v>
      </c>
      <c r="G168" s="3" t="str">
        <v>Talia</v>
      </c>
      <c r="I168" s="3" t="str">
        <v>MLV</v>
      </c>
      <c r="J168" s="3" t="str">
        <v>Direct</v>
      </c>
    </row>
    <row r="169">
      <c r="A169" s="3">
        <v>45117</v>
      </c>
      <c r="B169" s="3" t="str">
        <v>N:New Quotation</v>
      </c>
      <c r="C169" s="3" t="str">
        <v>H:Hull</v>
      </c>
      <c r="D169" s="3">
        <f>D168+1</f>
        <v>342</v>
      </c>
      <c r="E169" s="3" t="str">
        <f>CONCAT("Q","/",LEFT(Table2[[#This Row],[Quotation Type]],1),"/", LEFT(Table2[[#This Row],[Branch]],1),"/", RIGHT(YEAR(TODAY()),2), "/",Table2[[#This Row],[Seq. Number]])</f>
        <v>Q/N/H/26/342</v>
      </c>
      <c r="F169" s="3" t="str">
        <v>Sea Knots</v>
      </c>
      <c r="G169" s="3" t="str">
        <v>M 3319</v>
      </c>
      <c r="I169" s="3" t="str">
        <v>Pontoon</v>
      </c>
      <c r="J169" s="3" t="str">
        <v>IPIC</v>
      </c>
    </row>
    <row r="170">
      <c r="A170" s="3">
        <v>45118</v>
      </c>
      <c r="B170" s="3" t="str">
        <v>R:Renewal</v>
      </c>
      <c r="C170" s="3" t="str">
        <v>H:Hull</v>
      </c>
      <c r="D170" s="3">
        <f>D169+1</f>
        <v>343</v>
      </c>
      <c r="E170" s="3" t="str">
        <f>CONCAT("Q","/",LEFT(Table2[[#This Row],[Quotation Type]],1),"/", LEFT(Table2[[#This Row],[Branch]],1),"/", RIGHT(YEAR(TODAY()),2), "/",Table2[[#This Row],[Seq. Number]])</f>
        <v>Q/R/H/26/343</v>
      </c>
      <c r="F170" s="3" t="str">
        <v>El Kashawi</v>
      </c>
      <c r="G170" s="3" t="str">
        <v>Golden Rose</v>
      </c>
      <c r="I170" s="3" t="str">
        <v>GC</v>
      </c>
      <c r="J170" s="3" t="str">
        <v>Direct</v>
      </c>
    </row>
    <row r="171">
      <c r="A171" s="3">
        <v>45118</v>
      </c>
      <c r="B171" s="3" t="str">
        <v>R:Renewal</v>
      </c>
      <c r="C171" s="3" t="str">
        <v>H:Hull</v>
      </c>
      <c r="D171" s="3">
        <f>D170+1</f>
        <v>344</v>
      </c>
      <c r="E171" s="3" t="str">
        <f>CONCAT("Q","/",LEFT(Table2[[#This Row],[Quotation Type]],1),"/", LEFT(Table2[[#This Row],[Branch]],1),"/", RIGHT(YEAR(TODAY()),2), "/",Table2[[#This Row],[Seq. Number]])</f>
        <v>Q/R/H/26/344</v>
      </c>
      <c r="F171" s="3" t="str">
        <v>El Kashawi</v>
      </c>
      <c r="G171" s="3" t="str">
        <v>Golden Shark</v>
      </c>
      <c r="I171" s="3" t="str">
        <v>GC</v>
      </c>
      <c r="J171" s="3" t="str">
        <v>Direct</v>
      </c>
    </row>
    <row r="172">
      <c r="A172" s="3">
        <v>45118</v>
      </c>
      <c r="B172" s="3" t="str">
        <v>N:New Quotation</v>
      </c>
      <c r="C172" s="3" t="str">
        <v>H:Hull</v>
      </c>
      <c r="D172" s="3">
        <f>D171+1</f>
        <v>345</v>
      </c>
      <c r="E172" s="3" t="str">
        <f>CONCAT("Q","/",LEFT(Table2[[#This Row],[Quotation Type]],1),"/", LEFT(Table2[[#This Row],[Branch]],1),"/", RIGHT(YEAR(TODAY()),2), "/",Table2[[#This Row],[Seq. Number]])</f>
        <v>Q/N/H/26/345</v>
      </c>
      <c r="G172" s="3" t="str">
        <v>Sana</v>
      </c>
      <c r="I172" s="3" t="str">
        <v>Cargo</v>
      </c>
      <c r="J172" s="3" t="str">
        <v>IPIC</v>
      </c>
    </row>
    <row r="173">
      <c r="A173" s="3">
        <v>45119</v>
      </c>
      <c r="B173" s="3" t="str">
        <v>N:New Quotation</v>
      </c>
      <c r="C173" s="3" t="str">
        <v>H:Hull</v>
      </c>
      <c r="D173" s="3">
        <f>D172+1</f>
        <v>346</v>
      </c>
      <c r="E173" s="3" t="str">
        <f>CONCAT("Q","/",LEFT(Table2[[#This Row],[Quotation Type]],1),"/", LEFT(Table2[[#This Row],[Branch]],1),"/", RIGHT(YEAR(TODAY()),2), "/",Table2[[#This Row],[Seq. Number]])</f>
        <v>Q/N/H/26/346</v>
      </c>
      <c r="G173" s="3" t="str">
        <v>Sofi 1</v>
      </c>
      <c r="I173" s="3" t="str">
        <v>O/T</v>
      </c>
      <c r="J173" s="3" t="str">
        <v>IPIC</v>
      </c>
    </row>
    <row r="174">
      <c r="A174" s="3">
        <v>45119</v>
      </c>
      <c r="B174" s="3" t="str">
        <v>N:New Quotation</v>
      </c>
      <c r="C174" s="3" t="str">
        <v>H:Hull</v>
      </c>
      <c r="D174" s="3">
        <f>D173+1</f>
        <v>347</v>
      </c>
      <c r="E174" s="3" t="str">
        <f>CONCAT("Q","/",LEFT(Table2[[#This Row],[Quotation Type]],1),"/", LEFT(Table2[[#This Row],[Branch]],1),"/", RIGHT(YEAR(TODAY()),2), "/",Table2[[#This Row],[Seq. Number]])</f>
        <v>Q/N/H/26/347</v>
      </c>
      <c r="F174" s="3" t="str">
        <v>Hoiyu International Group Limited</v>
      </c>
      <c r="G174" s="3" t="str">
        <v>Pacific Venus</v>
      </c>
      <c r="I174" s="3" t="str">
        <v>Passenger</v>
      </c>
      <c r="J174" s="3" t="str">
        <v>IPIC</v>
      </c>
    </row>
    <row r="175">
      <c r="A175" s="3">
        <v>45120</v>
      </c>
      <c r="B175" s="3" t="str">
        <v>N:New Quotation</v>
      </c>
      <c r="C175" s="3" t="str">
        <v>H:Hull</v>
      </c>
      <c r="D175" s="3">
        <f>D174+1</f>
        <v>348</v>
      </c>
      <c r="E175" s="3" t="str">
        <f>CONCAT("Q","/",LEFT(Table2[[#This Row],[Quotation Type]],1),"/", LEFT(Table2[[#This Row],[Branch]],1),"/", RIGHT(YEAR(TODAY()),2), "/",Table2[[#This Row],[Seq. Number]])</f>
        <v>Q/N/H/26/348</v>
      </c>
      <c r="F175" s="3" t="str">
        <v>AB Shipping</v>
      </c>
      <c r="G175" s="3" t="str">
        <v>Atlantis Alvarado</v>
      </c>
      <c r="I175" s="3" t="str">
        <v>O/T</v>
      </c>
      <c r="J175" s="3" t="str">
        <v>Kominsur</v>
      </c>
    </row>
    <row r="176">
      <c r="A176" s="3">
        <v>45124</v>
      </c>
      <c r="B176" s="3" t="str">
        <v>R:Renewal</v>
      </c>
      <c r="C176" s="3" t="str">
        <v>H:Hull</v>
      </c>
      <c r="D176" s="3">
        <f>D175+1</f>
        <v>349</v>
      </c>
      <c r="E176" s="3" t="str">
        <f>CONCAT("Q","/",LEFT(Table2[[#This Row],[Quotation Type]],1),"/", LEFT(Table2[[#This Row],[Branch]],1),"/", RIGHT(YEAR(TODAY()),2), "/",Table2[[#This Row],[Seq. Number]])</f>
        <v>Q/R/H/26/349</v>
      </c>
      <c r="F176" s="3" t="str">
        <v>Scandinavian Shipping</v>
      </c>
      <c r="G176" s="3" t="str">
        <v>Amal/Daleela</v>
      </c>
      <c r="I176" s="3" t="str">
        <v>Ro-Ro</v>
      </c>
      <c r="J176" s="3" t="str">
        <v>Mesco</v>
      </c>
    </row>
    <row r="177">
      <c r="A177" s="3">
        <v>45124</v>
      </c>
      <c r="B177" s="3" t="str">
        <v>R:Renewal</v>
      </c>
      <c r="C177" s="3" t="str">
        <v>W:War</v>
      </c>
      <c r="D177" s="3">
        <f>D176+1</f>
        <v>350</v>
      </c>
      <c r="E177" s="3" t="str">
        <f>CONCAT("Q","/",LEFT(Table2[[#This Row],[Quotation Type]],1),"/", LEFT(Table2[[#This Row],[Branch]],1),"/", RIGHT(YEAR(TODAY()),2), "/",Table2[[#This Row],[Seq. Number]])</f>
        <v>Q/R/W/26/350</v>
      </c>
      <c r="F177" s="3" t="str">
        <v>Scandinavian Shipping</v>
      </c>
      <c r="G177" s="3" t="str">
        <v>Amal/Daleela</v>
      </c>
      <c r="I177" s="3" t="str">
        <v>Ro-Ro</v>
      </c>
      <c r="J177" s="3" t="str">
        <v>Mesco</v>
      </c>
    </row>
    <row r="178">
      <c r="A178" s="3">
        <v>45124</v>
      </c>
      <c r="B178" s="3" t="str">
        <v>R:Renewal</v>
      </c>
      <c r="C178" s="3" t="str">
        <v>H:Hull</v>
      </c>
      <c r="D178" s="3">
        <f>D177+1</f>
        <v>351</v>
      </c>
      <c r="E178" s="3" t="str">
        <f>CONCAT("Q","/",LEFT(Table2[[#This Row],[Quotation Type]],1),"/", LEFT(Table2[[#This Row],[Branch]],1),"/", RIGHT(YEAR(TODAY()),2), "/",Table2[[#This Row],[Seq. Number]])</f>
        <v>Q/R/H/26/351</v>
      </c>
      <c r="F178" s="3" t="str">
        <v>Sena Ship Management</v>
      </c>
      <c r="G178" s="3" t="str">
        <v>Alhussein</v>
      </c>
      <c r="I178" s="3" t="str">
        <v>Ro-Ro</v>
      </c>
      <c r="J178" s="3" t="str">
        <v>Mesco</v>
      </c>
    </row>
    <row r="179">
      <c r="A179" s="3">
        <v>45124</v>
      </c>
      <c r="B179" s="3" t="str">
        <v>N:New Quotation</v>
      </c>
      <c r="C179" s="3" t="str">
        <v>H:Hull</v>
      </c>
      <c r="D179" s="3">
        <f>D178+1</f>
        <v>352</v>
      </c>
      <c r="E179" s="3" t="str">
        <f>CONCAT("Q","/",LEFT(Table2[[#This Row],[Quotation Type]],1),"/", LEFT(Table2[[#This Row],[Branch]],1),"/", RIGHT(YEAR(TODAY()),2), "/",Table2[[#This Row],[Seq. Number]])</f>
        <v>Q/N/H/26/352</v>
      </c>
      <c r="F179" s="3" t="str">
        <v>Nodens Marine</v>
      </c>
      <c r="G179" s="3" t="str">
        <v>Nika Ruby</v>
      </c>
      <c r="I179" s="3" t="str">
        <v>O/T</v>
      </c>
      <c r="J179" s="3" t="str">
        <v>City</v>
      </c>
    </row>
    <row r="180">
      <c r="A180" s="3">
        <v>45125</v>
      </c>
      <c r="B180" s="3" t="str">
        <v>A:Addition</v>
      </c>
      <c r="C180" s="3" t="str">
        <v>H:Hull</v>
      </c>
      <c r="D180" s="3">
        <f>D179+1</f>
        <v>353</v>
      </c>
      <c r="E180" s="3" t="str">
        <f>CONCAT("Q","/",LEFT(Table2[[#This Row],[Quotation Type]],1),"/", LEFT(Table2[[#This Row],[Branch]],1),"/", RIGHT(YEAR(TODAY()),2), "/",Table2[[#This Row],[Seq. Number]])</f>
        <v>Q/A/H/26/353</v>
      </c>
      <c r="F180" s="3" t="str">
        <v>Atlantis Maritime</v>
      </c>
      <c r="G180" s="3" t="str">
        <v>Mirna</v>
      </c>
      <c r="H180" s="3">
        <v>9291925</v>
      </c>
      <c r="I180" s="3" t="str">
        <v>BC</v>
      </c>
      <c r="J180" s="3" t="str">
        <v>Brandenburg</v>
      </c>
    </row>
    <row r="181">
      <c r="A181" s="3">
        <v>45125</v>
      </c>
      <c r="B181" s="3" t="str">
        <v>A:Addition</v>
      </c>
      <c r="C181" s="3" t="str">
        <v>P:P&amp;I</v>
      </c>
      <c r="D181" s="3">
        <f>D180+1</f>
        <v>354</v>
      </c>
      <c r="E181" s="3" t="str">
        <f>CONCAT("Q","/",LEFT(Table2[[#This Row],[Quotation Type]],1),"/", LEFT(Table2[[#This Row],[Branch]],1),"/", RIGHT(YEAR(TODAY()),2), "/",Table2[[#This Row],[Seq. Number]])</f>
        <v>Q/A/P/26/354</v>
      </c>
      <c r="F181" s="3" t="str">
        <v>Atlantis Maritime</v>
      </c>
      <c r="G181" s="3" t="str">
        <v>Mirna</v>
      </c>
      <c r="H181" s="3">
        <v>9291925</v>
      </c>
      <c r="I181" s="3" t="str">
        <v>BC</v>
      </c>
      <c r="J181" s="3" t="str">
        <v>Brandenburg</v>
      </c>
    </row>
    <row r="182">
      <c r="A182" s="3">
        <v>45125</v>
      </c>
      <c r="B182" s="3" t="str">
        <v>A:Addition</v>
      </c>
      <c r="C182" s="3" t="str">
        <v>W:War</v>
      </c>
      <c r="D182" s="3">
        <f>D181+1</f>
        <v>355</v>
      </c>
      <c r="E182" s="3" t="str">
        <f>CONCAT("Q","/",LEFT(Table2[[#This Row],[Quotation Type]],1),"/", LEFT(Table2[[#This Row],[Branch]],1),"/", RIGHT(YEAR(TODAY()),2), "/",Table2[[#This Row],[Seq. Number]])</f>
        <v>Q/A/W/26/355</v>
      </c>
      <c r="F182" s="3" t="str">
        <v>Atlantis Maritime</v>
      </c>
      <c r="G182" s="3" t="str">
        <v>Mirna</v>
      </c>
      <c r="H182" s="3">
        <v>9291925</v>
      </c>
      <c r="I182" s="3" t="str">
        <v>BC</v>
      </c>
      <c r="J182" s="3" t="str">
        <v>Brandenburg</v>
      </c>
    </row>
    <row r="183">
      <c r="A183" s="3">
        <v>45125</v>
      </c>
      <c r="B183" s="3" t="str">
        <v>R:Renewal</v>
      </c>
      <c r="C183" s="3" t="str">
        <v>H:Hull</v>
      </c>
      <c r="D183" s="3">
        <f>D182+1</f>
        <v>356</v>
      </c>
      <c r="E183" s="3" t="str">
        <f>CONCAT("Q","/",LEFT(Table2[[#This Row],[Quotation Type]],1),"/", LEFT(Table2[[#This Row],[Branch]],1),"/", RIGHT(YEAR(TODAY()),2), "/",Table2[[#This Row],[Seq. Number]])</f>
        <v>Q/R/H/26/356</v>
      </c>
      <c r="F183" s="3" t="str">
        <v>United Marine Egypt</v>
      </c>
      <c r="J183" s="3" t="str">
        <v>Fairwater</v>
      </c>
    </row>
    <row r="184">
      <c r="A184" s="3">
        <v>45125</v>
      </c>
      <c r="B184" s="3" t="str">
        <v>N:New Quotation</v>
      </c>
      <c r="C184" s="3" t="str">
        <v>H:Hull</v>
      </c>
      <c r="D184" s="3">
        <f>D183+1</f>
        <v>357</v>
      </c>
      <c r="E184" s="3" t="str">
        <f>CONCAT("Q","/",LEFT(Table2[[#This Row],[Quotation Type]],1),"/", LEFT(Table2[[#This Row],[Branch]],1),"/", RIGHT(YEAR(TODAY()),2), "/",Table2[[#This Row],[Seq. Number]])</f>
        <v>Q/N/H/26/357</v>
      </c>
      <c r="F184" s="3" t="str">
        <v>Vincent Shipping Limited</v>
      </c>
      <c r="G184" s="3" t="str">
        <v>Dong Kun 7</v>
      </c>
      <c r="H184" s="3">
        <v>8740137</v>
      </c>
      <c r="I184" s="3" t="str">
        <v>GC</v>
      </c>
      <c r="J184" s="3" t="str">
        <v>IPIC</v>
      </c>
    </row>
    <row r="185">
      <c r="A185" s="3">
        <v>45125</v>
      </c>
      <c r="B185" s="3" t="str">
        <v>N:New Quotation</v>
      </c>
      <c r="C185" s="3" t="str">
        <v>H:Hull</v>
      </c>
      <c r="D185" s="3">
        <f>D184+1</f>
        <v>358</v>
      </c>
      <c r="E185" s="3" t="str">
        <f>CONCAT("Q","/",LEFT(Table2[[#This Row],[Quotation Type]],1),"/", LEFT(Table2[[#This Row],[Branch]],1),"/", RIGHT(YEAR(TODAY()),2), "/",Table2[[#This Row],[Seq. Number]])</f>
        <v>Q/N/H/26/358</v>
      </c>
      <c r="F185" s="3" t="str">
        <v>Mubarak Marine</v>
      </c>
      <c r="G185" s="3" t="str">
        <v>Al Falasi 1</v>
      </c>
      <c r="I185" s="3" t="str">
        <v>Yacht</v>
      </c>
      <c r="J185" s="3" t="str">
        <v>IPIC</v>
      </c>
    </row>
    <row r="186">
      <c r="A186" s="3">
        <v>45128</v>
      </c>
      <c r="B186" s="3" t="str">
        <v>A:Addition</v>
      </c>
      <c r="C186" s="3" t="str">
        <v>H:Hull</v>
      </c>
      <c r="D186" s="3">
        <f>D185+1</f>
        <v>359</v>
      </c>
      <c r="E186" s="3" t="str">
        <f>CONCAT("Q","/",LEFT(Table2[[#This Row],[Quotation Type]],1),"/", LEFT(Table2[[#This Row],[Branch]],1),"/", RIGHT(YEAR(TODAY()),2), "/",Table2[[#This Row],[Seq. Number]])</f>
        <v>Q/A/H/26/359</v>
      </c>
      <c r="F186" s="3" t="str">
        <v>Zulu Marine Services &amp; Trade FZE</v>
      </c>
      <c r="G186" s="3" t="str">
        <v>Olivia</v>
      </c>
      <c r="I186" s="3" t="str">
        <v>Container</v>
      </c>
      <c r="J186" s="3" t="str">
        <v>City</v>
      </c>
    </row>
    <row r="187">
      <c r="A187" s="3">
        <v>45135</v>
      </c>
      <c r="B187" s="3" t="str">
        <v>R:Renewal</v>
      </c>
      <c r="C187" s="3" t="str">
        <v>P:P&amp;I</v>
      </c>
      <c r="D187" s="3">
        <f>D186+1</f>
        <v>360</v>
      </c>
      <c r="E187" s="3" t="str">
        <f>CONCAT("Q","/",LEFT(Table2[[#This Row],[Quotation Type]],1),"/", LEFT(Table2[[#This Row],[Branch]],1),"/", RIGHT(YEAR(TODAY()),2), "/",Table2[[#This Row],[Seq. Number]])</f>
        <v>Q/R/P/26/360</v>
      </c>
      <c r="F187" s="3" t="str">
        <v>Ocean Fleet Management</v>
      </c>
      <c r="G187" s="3" t="str">
        <v>Agot</v>
      </c>
      <c r="H187" s="3">
        <v>7700594</v>
      </c>
      <c r="I187" s="3" t="str">
        <v>Reefer</v>
      </c>
      <c r="J187" s="3" t="str">
        <v>Kominsur</v>
      </c>
    </row>
    <row r="188">
      <c r="A188" s="3">
        <v>45135</v>
      </c>
      <c r="B188" s="3" t="str">
        <v>N:New Quotation</v>
      </c>
      <c r="C188" s="3" t="str">
        <v>H:Hull</v>
      </c>
      <c r="D188" s="3">
        <f>D187+1</f>
        <v>361</v>
      </c>
      <c r="E188" s="3" t="str">
        <f>CONCAT("Q","/",LEFT(Table2[[#This Row],[Quotation Type]],1),"/", LEFT(Table2[[#This Row],[Branch]],1),"/", RIGHT(YEAR(TODAY()),2), "/",Table2[[#This Row],[Seq. Number]])</f>
        <v>Q/N/H/26/361</v>
      </c>
      <c r="G188" s="3" t="str">
        <v>Wilberg</v>
      </c>
      <c r="H188" s="3">
        <v>9078531</v>
      </c>
      <c r="I188" s="3" t="str">
        <v>GC</v>
      </c>
      <c r="J188" s="3" t="str">
        <v>Velos</v>
      </c>
    </row>
    <row r="189">
      <c r="A189" s="3">
        <v>45138</v>
      </c>
      <c r="B189" s="3" t="str">
        <v>R:Renewal</v>
      </c>
      <c r="C189" s="3" t="str">
        <v>H:Hull</v>
      </c>
      <c r="D189" s="3">
        <f>D188+1</f>
        <v>362</v>
      </c>
      <c r="E189" s="3" t="str">
        <f>CONCAT("Q","/",LEFT(Table2[[#This Row],[Quotation Type]],1),"/", LEFT(Table2[[#This Row],[Branch]],1),"/", RIGHT(YEAR(TODAY()),2), "/",Table2[[#This Row],[Seq. Number]])</f>
        <v>Q/R/H/26/362</v>
      </c>
      <c r="G189" s="3" t="str">
        <v>Maher</v>
      </c>
      <c r="I189" s="3" t="str">
        <v>GC</v>
      </c>
      <c r="J189" s="3" t="str">
        <v>Direct</v>
      </c>
    </row>
    <row r="190">
      <c r="A190" s="3">
        <v>45138</v>
      </c>
      <c r="B190" s="3" t="str">
        <v>R:Renewal</v>
      </c>
      <c r="C190" s="3" t="str">
        <v>P:P&amp;I</v>
      </c>
      <c r="D190" s="3">
        <f>D189+1</f>
        <v>363</v>
      </c>
      <c r="E190" s="3" t="str">
        <f>CONCAT("Q","/",LEFT(Table2[[#This Row],[Quotation Type]],1),"/", LEFT(Table2[[#This Row],[Branch]],1),"/", RIGHT(YEAR(TODAY()),2), "/",Table2[[#This Row],[Seq. Number]])</f>
        <v>Q/R/P/26/363</v>
      </c>
      <c r="G190" s="3" t="str">
        <v>Maher</v>
      </c>
      <c r="I190" s="3" t="str">
        <v>GC</v>
      </c>
      <c r="J190" s="3" t="str">
        <v>Direct</v>
      </c>
    </row>
    <row r="191">
      <c r="A191" s="3">
        <v>45138</v>
      </c>
      <c r="B191" s="3" t="str">
        <v>R:Renewal</v>
      </c>
      <c r="C191" s="3" t="str">
        <v>H:Hull</v>
      </c>
      <c r="D191" s="3">
        <f>D190+1</f>
        <v>364</v>
      </c>
      <c r="E191" s="3" t="str">
        <f>CONCAT("Q","/",LEFT(Table2[[#This Row],[Quotation Type]],1),"/", LEFT(Table2[[#This Row],[Branch]],1),"/", RIGHT(YEAR(TODAY()),2), "/",Table2[[#This Row],[Seq. Number]])</f>
        <v>Q/R/H/26/364</v>
      </c>
      <c r="F191" s="3" t="str">
        <v>Ammoun Shipping</v>
      </c>
      <c r="G191" s="3" t="str">
        <v>Abraham A</v>
      </c>
      <c r="I191" s="3" t="str">
        <v>GC</v>
      </c>
      <c r="J191" s="3" t="str">
        <v>Direct</v>
      </c>
    </row>
    <row r="192">
      <c r="A192" s="3">
        <v>45138</v>
      </c>
      <c r="B192" s="3" t="str">
        <v>R:Renewal</v>
      </c>
      <c r="C192" s="3" t="str">
        <v>P:P&amp;I</v>
      </c>
      <c r="D192" s="3">
        <f>D191+1</f>
        <v>365</v>
      </c>
      <c r="E192" s="3" t="str">
        <f>CONCAT("Q","/",LEFT(Table2[[#This Row],[Quotation Type]],1),"/", LEFT(Table2[[#This Row],[Branch]],1),"/", RIGHT(YEAR(TODAY()),2), "/",Table2[[#This Row],[Seq. Number]])</f>
        <v>Q/R/P/26/365</v>
      </c>
      <c r="F192" s="3" t="str">
        <v>Ammoun Shipping</v>
      </c>
      <c r="G192" s="3" t="str">
        <v>Abraham A</v>
      </c>
      <c r="I192" s="3" t="str">
        <v>GC</v>
      </c>
      <c r="J192" s="3" t="str">
        <v>Direct</v>
      </c>
    </row>
    <row r="193">
      <c r="A193" s="3">
        <v>45138</v>
      </c>
      <c r="B193" s="3" t="str">
        <v>R:Renewal</v>
      </c>
      <c r="C193" s="3" t="str">
        <v>H:Hull</v>
      </c>
      <c r="D193" s="3">
        <f>D192+1</f>
        <v>366</v>
      </c>
      <c r="E193" s="3" t="str">
        <f>CONCAT("Q","/",LEFT(Table2[[#This Row],[Quotation Type]],1),"/", LEFT(Table2[[#This Row],[Branch]],1),"/", RIGHT(YEAR(TODAY()),2), "/",Table2[[#This Row],[Seq. Number]])</f>
        <v>Q/R/H/26/366</v>
      </c>
      <c r="G193" s="3" t="str">
        <v>Oscar I</v>
      </c>
      <c r="I193" s="3" t="str">
        <v>GC</v>
      </c>
      <c r="J193" s="3" t="str">
        <v>Fouad Al Mahmoud</v>
      </c>
    </row>
    <row r="194">
      <c r="A194" s="3">
        <v>45138</v>
      </c>
      <c r="B194" s="3" t="str">
        <v>R:Renewal</v>
      </c>
      <c r="C194" s="3" t="str">
        <v>P:P&amp;I</v>
      </c>
      <c r="D194" s="3">
        <f>D193+1</f>
        <v>367</v>
      </c>
      <c r="E194" s="3" t="str">
        <f>CONCAT("Q","/",LEFT(Table2[[#This Row],[Quotation Type]],1),"/", LEFT(Table2[[#This Row],[Branch]],1),"/", RIGHT(YEAR(TODAY()),2), "/",Table2[[#This Row],[Seq. Number]])</f>
        <v>Q/R/P/26/367</v>
      </c>
      <c r="G194" s="3" t="str">
        <v>Oscar I</v>
      </c>
      <c r="I194" s="3" t="str">
        <v>GC</v>
      </c>
      <c r="J194" s="3" t="str">
        <v>Fouad Al Mahmoud</v>
      </c>
    </row>
    <row r="195">
      <c r="A195" s="3">
        <v>45138</v>
      </c>
      <c r="B195" s="3" t="str">
        <v>R:Renewal</v>
      </c>
      <c r="C195" s="3" t="str">
        <v>H:Hull</v>
      </c>
      <c r="D195" s="3">
        <f>D194+1</f>
        <v>368</v>
      </c>
      <c r="E195" s="3" t="str">
        <f>CONCAT("Q","/",LEFT(Table2[[#This Row],[Quotation Type]],1),"/", LEFT(Table2[[#This Row],[Branch]],1),"/", RIGHT(YEAR(TODAY()),2), "/",Table2[[#This Row],[Seq. Number]])</f>
        <v>Q/R/H/26/368</v>
      </c>
      <c r="F195" s="3" t="str">
        <v>Elbeco</v>
      </c>
      <c r="G195" s="3" t="str">
        <v>Queensland</v>
      </c>
      <c r="I195" s="3" t="str">
        <v>MLV</v>
      </c>
      <c r="J195" s="3" t="str">
        <v>Direct</v>
      </c>
    </row>
    <row r="196">
      <c r="A196" s="3">
        <v>45138</v>
      </c>
      <c r="B196" s="3" t="str">
        <v>R:Renewal</v>
      </c>
      <c r="C196" s="3" t="str">
        <v>Y:Yacht</v>
      </c>
      <c r="D196" s="3">
        <f>D195+1</f>
        <v>369</v>
      </c>
      <c r="E196" s="3" t="str">
        <f>CONCAT("Q","/",LEFT(Table2[[#This Row],[Quotation Type]],1),"/", LEFT(Table2[[#This Row],[Branch]],1),"/", RIGHT(YEAR(TODAY()),2), "/",Table2[[#This Row],[Seq. Number]])</f>
        <v>Q/R/Y/26/369</v>
      </c>
      <c r="F196" s="3" t="str">
        <v>Pegasus Yachts</v>
      </c>
      <c r="G196" s="3" t="str">
        <v>Moonraker</v>
      </c>
      <c r="I196" s="3" t="str">
        <v>Yacht</v>
      </c>
      <c r="J196" s="3" t="str">
        <v>Marsh</v>
      </c>
    </row>
    <row r="197">
      <c r="A197" s="3">
        <v>45139</v>
      </c>
      <c r="B197" s="3" t="str">
        <v>N:New Quotation</v>
      </c>
      <c r="C197" s="3" t="str">
        <v>H:Hull</v>
      </c>
      <c r="D197" s="3">
        <f>D196+1</f>
        <v>370</v>
      </c>
      <c r="E197" s="3" t="str">
        <f>CONCAT("Q","/",LEFT(Table2[[#This Row],[Quotation Type]],1),"/", LEFT(Table2[[#This Row],[Branch]],1),"/", RIGHT(YEAR(TODAY()),2), "/",Table2[[#This Row],[Seq. Number]])</f>
        <v>Q/N/H/26/370</v>
      </c>
      <c r="F197" s="3" t="str">
        <v>Tehama</v>
      </c>
      <c r="I197" s="3" t="str">
        <v>Container</v>
      </c>
      <c r="J197" s="3" t="str">
        <v>Mesco</v>
      </c>
    </row>
    <row r="198">
      <c r="A198" s="3">
        <v>45139</v>
      </c>
      <c r="B198" s="3" t="str">
        <v>N:New Quotation</v>
      </c>
      <c r="C198" s="3" t="str">
        <v>H:Hull</v>
      </c>
      <c r="D198" s="3">
        <f>D197+1</f>
        <v>371</v>
      </c>
      <c r="E198" s="3" t="str">
        <f>CONCAT("Q","/",LEFT(Table2[[#This Row],[Quotation Type]],1),"/", LEFT(Table2[[#This Row],[Branch]],1),"/", RIGHT(YEAR(TODAY()),2), "/",Table2[[#This Row],[Seq. Number]])</f>
        <v>Q/N/H/26/371</v>
      </c>
      <c r="F198" s="3" t="str">
        <v>Rami Shipping</v>
      </c>
      <c r="G198" s="3" t="str">
        <v>Rami M</v>
      </c>
      <c r="I198" s="3" t="str">
        <v>Container</v>
      </c>
      <c r="J198" s="3" t="str">
        <v>IPIC</v>
      </c>
    </row>
    <row r="199">
      <c r="A199" s="3">
        <v>45140</v>
      </c>
      <c r="B199" s="3" t="str">
        <v>N:New Quotation</v>
      </c>
      <c r="C199" s="3" t="str">
        <v>P:P&amp;I</v>
      </c>
      <c r="D199" s="3">
        <f>D198+1</f>
        <v>372</v>
      </c>
      <c r="E199" s="3" t="str">
        <f>CONCAT("Q","/",LEFT(Table2[[#This Row],[Quotation Type]],1),"/", LEFT(Table2[[#This Row],[Branch]],1),"/", RIGHT(YEAR(TODAY()),2), "/",Table2[[#This Row],[Seq. Number]])</f>
        <v>Q/N/P/26/372</v>
      </c>
      <c r="F199" s="3" t="str">
        <v>SNG Shipping Company</v>
      </c>
      <c r="G199" s="3" t="str">
        <v>SNG Emira</v>
      </c>
      <c r="H199" s="3">
        <v>9291951</v>
      </c>
      <c r="I199" s="3" t="str">
        <v>GC</v>
      </c>
      <c r="J199" s="3" t="str">
        <v>Kuzey</v>
      </c>
    </row>
    <row r="200">
      <c r="A200" s="3">
        <v>45145</v>
      </c>
      <c r="B200" s="3" t="str">
        <v>R:Renewal</v>
      </c>
      <c r="C200" s="3" t="str">
        <v>H:Hull</v>
      </c>
      <c r="D200" s="3">
        <f>D199+1</f>
        <v>373</v>
      </c>
      <c r="E200" s="3" t="str">
        <f>CONCAT("Q","/",LEFT(Table2[[#This Row],[Quotation Type]],1),"/", LEFT(Table2[[#This Row],[Branch]],1),"/", RIGHT(YEAR(TODAY()),2), "/",Table2[[#This Row],[Seq. Number]])</f>
        <v>Q/R/H/26/373</v>
      </c>
      <c r="F200" s="3" t="str">
        <v>Tower Shipping Co</v>
      </c>
      <c r="G200" s="3" t="str">
        <v>Bomustafa</v>
      </c>
      <c r="H200" s="3">
        <v>9114476</v>
      </c>
      <c r="I200" s="3" t="str">
        <v>BC</v>
      </c>
      <c r="J200" s="3" t="str">
        <v>Brandenburg</v>
      </c>
    </row>
    <row r="201">
      <c r="A201" s="3">
        <v>45145</v>
      </c>
      <c r="B201" s="3" t="str">
        <v>N:New Quotation</v>
      </c>
      <c r="C201" s="3" t="str">
        <v>H:Hull</v>
      </c>
      <c r="D201" s="3">
        <f>D200+1</f>
        <v>374</v>
      </c>
      <c r="E201" s="3" t="str">
        <f>CONCAT("Q","/",LEFT(Table2[[#This Row],[Quotation Type]],1),"/", LEFT(Table2[[#This Row],[Branch]],1),"/", RIGHT(YEAR(TODAY()),2), "/",Table2[[#This Row],[Seq. Number]])</f>
        <v>Q/N/H/26/374</v>
      </c>
      <c r="F201" s="3" t="str">
        <v>HK Shipping Ltd.</v>
      </c>
      <c r="G201" s="3" t="str">
        <v>Project A</v>
      </c>
      <c r="H201" s="3">
        <v>9170913</v>
      </c>
      <c r="I201" s="3" t="str">
        <v>GC</v>
      </c>
      <c r="J201" s="3" t="str">
        <v>City</v>
      </c>
    </row>
    <row r="202">
      <c r="A202" s="3">
        <v>45146</v>
      </c>
      <c r="B202" s="3" t="str">
        <v>N:New Quotation</v>
      </c>
      <c r="C202" s="3" t="str">
        <v>H:Hull</v>
      </c>
      <c r="D202" s="3">
        <f>D201+1</f>
        <v>375</v>
      </c>
      <c r="E202" s="3" t="str">
        <f>CONCAT("Q","/",LEFT(Table2[[#This Row],[Quotation Type]],1),"/", LEFT(Table2[[#This Row],[Branch]],1),"/", RIGHT(YEAR(TODAY()),2), "/",Table2[[#This Row],[Seq. Number]])</f>
        <v>Q/N/H/26/375</v>
      </c>
      <c r="F202" s="3" t="str">
        <v>Pioneer Ship</v>
      </c>
      <c r="G202" s="3" t="str">
        <v>Al Amal</v>
      </c>
      <c r="I202" s="3" t="str">
        <v>GC</v>
      </c>
      <c r="J202" s="3" t="str">
        <v>Sarnia</v>
      </c>
    </row>
    <row r="203">
      <c r="A203" s="3">
        <v>45146</v>
      </c>
      <c r="B203" s="3" t="str">
        <v>N:New Quotation</v>
      </c>
      <c r="C203" s="3" t="str">
        <v>P:P&amp;I</v>
      </c>
      <c r="D203" s="3">
        <f>D202+1</f>
        <v>376</v>
      </c>
      <c r="E203" s="3" t="str">
        <f>CONCAT("Q","/",LEFT(Table2[[#This Row],[Quotation Type]],1),"/", LEFT(Table2[[#This Row],[Branch]],1),"/", RIGHT(YEAR(TODAY()),2), "/",Table2[[#This Row],[Seq. Number]])</f>
        <v>Q/N/P/26/376</v>
      </c>
      <c r="F203" s="3" t="str">
        <v>Pioneer Ship</v>
      </c>
      <c r="G203" s="3" t="str">
        <v>Al Amal</v>
      </c>
      <c r="I203" s="3" t="str">
        <v>GC</v>
      </c>
      <c r="J203" s="3" t="str">
        <v>Sarnia</v>
      </c>
    </row>
    <row r="204">
      <c r="A204" s="3">
        <v>45146</v>
      </c>
      <c r="B204" s="3" t="str">
        <v>N:New Quotation</v>
      </c>
      <c r="C204" s="3" t="str">
        <v>P:P&amp;I</v>
      </c>
      <c r="D204" s="3">
        <f>D203+1</f>
        <v>377</v>
      </c>
      <c r="E204" s="3" t="str">
        <f>CONCAT("Q","/",LEFT(Table2[[#This Row],[Quotation Type]],1),"/", LEFT(Table2[[#This Row],[Branch]],1),"/", RIGHT(YEAR(TODAY()),2), "/",Table2[[#This Row],[Seq. Number]])</f>
        <v>Q/N/P/26/377</v>
      </c>
      <c r="F204" s="3" t="str">
        <v>RTSS</v>
      </c>
      <c r="G204" s="3" t="str">
        <v>LSS Success</v>
      </c>
      <c r="I204" s="3" t="str">
        <v>MLV</v>
      </c>
      <c r="J204" s="3" t="str">
        <v>City</v>
      </c>
    </row>
    <row r="205">
      <c r="A205" s="3">
        <v>45146</v>
      </c>
      <c r="B205" s="3" t="str">
        <v>N:New Quotation</v>
      </c>
      <c r="C205" s="3" t="str">
        <v>F:FD&amp;D</v>
      </c>
      <c r="D205" s="3">
        <f>D204+1</f>
        <v>378</v>
      </c>
      <c r="E205" s="3" t="str">
        <f>CONCAT("Q","/",LEFT(Table2[[#This Row],[Quotation Type]],1),"/", LEFT(Table2[[#This Row],[Branch]],1),"/", RIGHT(YEAR(TODAY()),2), "/",Table2[[#This Row],[Seq. Number]])</f>
        <v>Q/N/F/26/378</v>
      </c>
      <c r="F205" s="3" t="str">
        <v>RTSS</v>
      </c>
      <c r="G205" s="3" t="str">
        <v>LSS Success</v>
      </c>
      <c r="I205" s="3" t="str">
        <v>MLV</v>
      </c>
      <c r="J205" s="3" t="str">
        <v>City</v>
      </c>
    </row>
    <row r="206">
      <c r="A206" s="3">
        <v>45148</v>
      </c>
      <c r="B206" s="3" t="str">
        <v>N:New Quotation</v>
      </c>
      <c r="C206" s="3" t="str">
        <v>P:P&amp;I</v>
      </c>
      <c r="D206" s="3">
        <f>D205+1</f>
        <v>379</v>
      </c>
      <c r="E206" s="3" t="str">
        <f>CONCAT("Q","/",LEFT(Table2[[#This Row],[Quotation Type]],1),"/", LEFT(Table2[[#This Row],[Branch]],1),"/", RIGHT(YEAR(TODAY()),2), "/",Table2[[#This Row],[Seq. Number]])</f>
        <v>Q/N/P/26/379</v>
      </c>
      <c r="F206" s="3" t="str">
        <v>HK Shipping Ltd.</v>
      </c>
      <c r="G206" s="3" t="str">
        <v>Project A</v>
      </c>
      <c r="H206" s="3">
        <v>9170913</v>
      </c>
      <c r="I206" s="3" t="str">
        <v>GC</v>
      </c>
      <c r="J206" s="3" t="str">
        <v>City</v>
      </c>
    </row>
    <row r="207">
      <c r="A207" s="3">
        <v>45155</v>
      </c>
      <c r="B207" s="3" t="str">
        <v>A:Addition</v>
      </c>
      <c r="C207" s="3" t="str">
        <v>H:Hull</v>
      </c>
      <c r="D207" s="3">
        <f>D206+1</f>
        <v>380</v>
      </c>
      <c r="E207" s="3" t="str">
        <f>CONCAT("Q","/",LEFT(Table2[[#This Row],[Quotation Type]],1),"/", LEFT(Table2[[#This Row],[Branch]],1),"/", RIGHT(YEAR(TODAY()),2), "/",Table2[[#This Row],[Seq. Number]])</f>
        <v>Q/A/H/26/380</v>
      </c>
      <c r="F207" s="3" t="str">
        <v>Seamasters International</v>
      </c>
      <c r="G207" s="3" t="str">
        <v>Klara Selmer</v>
      </c>
      <c r="I207" s="3" t="str">
        <v>BC</v>
      </c>
      <c r="J207" s="3" t="str">
        <v>Sarnia</v>
      </c>
    </row>
    <row r="208">
      <c r="A208" s="3">
        <v>45155</v>
      </c>
      <c r="B208" s="3" t="str">
        <v>A:Addition</v>
      </c>
      <c r="C208" s="3" t="str">
        <v>W:War</v>
      </c>
      <c r="D208" s="3">
        <f>D207+1</f>
        <v>381</v>
      </c>
      <c r="E208" s="3" t="str">
        <f>CONCAT("Q","/",LEFT(Table2[[#This Row],[Quotation Type]],1),"/", LEFT(Table2[[#This Row],[Branch]],1),"/", RIGHT(YEAR(TODAY()),2), "/",Table2[[#This Row],[Seq. Number]])</f>
        <v>Q/A/W/26/381</v>
      </c>
      <c r="F208" s="3" t="str">
        <v>Seamasters International</v>
      </c>
      <c r="G208" s="3" t="str">
        <v>Klara Selmer</v>
      </c>
      <c r="I208" s="3" t="str">
        <v>BC</v>
      </c>
      <c r="J208" s="3" t="str">
        <v>Sarnia</v>
      </c>
    </row>
    <row r="209">
      <c r="A209" s="3">
        <v>45160</v>
      </c>
      <c r="B209" s="3" t="str">
        <v>R:Renewal</v>
      </c>
      <c r="C209" s="3" t="str">
        <v>Y:Yacht</v>
      </c>
      <c r="D209" s="3">
        <f>D208+1</f>
        <v>382</v>
      </c>
      <c r="E209" s="3" t="str">
        <f>CONCAT("Q","/",LEFT(Table2[[#This Row],[Quotation Type]],1),"/", LEFT(Table2[[#This Row],[Branch]],1),"/", RIGHT(YEAR(TODAY()),2), "/",Table2[[#This Row],[Seq. Number]])</f>
        <v>Q/R/Y/26/382</v>
      </c>
      <c r="F209" s="3" t="str">
        <v>Mansour Management</v>
      </c>
      <c r="G209" s="3" t="str">
        <v>King</v>
      </c>
      <c r="I209" s="3" t="str">
        <v>Yacht</v>
      </c>
      <c r="J209" s="3" t="str">
        <v>Brandenburg</v>
      </c>
    </row>
    <row r="210">
      <c r="A210" s="3">
        <v>45160</v>
      </c>
      <c r="B210" s="3" t="str">
        <v>R:Renewal</v>
      </c>
      <c r="C210" s="3" t="str">
        <v>Y:Yacht</v>
      </c>
      <c r="D210" s="3">
        <f>D209+1</f>
        <v>383</v>
      </c>
      <c r="E210" s="3" t="str">
        <f>CONCAT("Q","/",LEFT(Table2[[#This Row],[Quotation Type]],1),"/", LEFT(Table2[[#This Row],[Branch]],1),"/", RIGHT(YEAR(TODAY()),2), "/",Table2[[#This Row],[Seq. Number]])</f>
        <v>Q/R/Y/26/383</v>
      </c>
      <c r="F210" s="3" t="str">
        <v>Mansour Management</v>
      </c>
      <c r="G210" s="3" t="str">
        <v>Abdul M</v>
      </c>
      <c r="I210" s="3" t="str">
        <v>Yacht</v>
      </c>
      <c r="J210" s="3" t="str">
        <v>Brandenburg</v>
      </c>
    </row>
    <row r="211">
      <c r="A211" s="3">
        <v>45160</v>
      </c>
      <c r="B211" s="3" t="str">
        <v>R:Renewal</v>
      </c>
      <c r="C211" s="3" t="str">
        <v>H:Hull</v>
      </c>
      <c r="D211" s="3">
        <f>D210+1</f>
        <v>384</v>
      </c>
      <c r="E211" s="3" t="str">
        <f>CONCAT("Q","/",LEFT(Table2[[#This Row],[Quotation Type]],1),"/", LEFT(Table2[[#This Row],[Branch]],1),"/", RIGHT(YEAR(TODAY()),2), "/",Table2[[#This Row],[Seq. Number]])</f>
        <v>Q/R/H/26/384</v>
      </c>
      <c r="F211" s="3" t="str">
        <v>Maritime Register</v>
      </c>
      <c r="G211" s="3" t="str">
        <v>Balkis</v>
      </c>
      <c r="I211" s="3" t="str">
        <v>GC</v>
      </c>
      <c r="J211" s="3" t="str">
        <v>Mesco</v>
      </c>
    </row>
    <row r="212">
      <c r="A212" s="3">
        <v>45160</v>
      </c>
      <c r="B212" s="3" t="str">
        <v>R:Renewal</v>
      </c>
      <c r="C212" s="3" t="str">
        <v>P:P&amp;I</v>
      </c>
      <c r="D212" s="3">
        <f>D211+1</f>
        <v>385</v>
      </c>
      <c r="E212" s="3" t="str">
        <f>CONCAT("Q","/",LEFT(Table2[[#This Row],[Quotation Type]],1),"/", LEFT(Table2[[#This Row],[Branch]],1),"/", RIGHT(YEAR(TODAY()),2), "/",Table2[[#This Row],[Seq. Number]])</f>
        <v>Q/R/P/26/385</v>
      </c>
      <c r="F212" s="3" t="str">
        <v>Murr Management</v>
      </c>
      <c r="G212" s="3" t="str">
        <v>Spiridon II</v>
      </c>
      <c r="H212" s="3">
        <v>7311329</v>
      </c>
      <c r="I212" s="3" t="str">
        <v>MLV</v>
      </c>
      <c r="J212" s="3" t="str">
        <v>Direct</v>
      </c>
    </row>
    <row r="213">
      <c r="A213" s="3">
        <v>45160</v>
      </c>
      <c r="B213" s="3" t="str">
        <v>R:Renewal</v>
      </c>
      <c r="C213" s="3" t="str">
        <v>H:Hull</v>
      </c>
      <c r="D213" s="3">
        <f>D212+1</f>
        <v>386</v>
      </c>
      <c r="E213" s="3" t="str">
        <f>CONCAT("Q","/",LEFT(Table2[[#This Row],[Quotation Type]],1),"/", LEFT(Table2[[#This Row],[Branch]],1),"/", RIGHT(YEAR(TODAY()),2), "/",Table2[[#This Row],[Seq. Number]])</f>
        <v>Q/R/H/26/386</v>
      </c>
      <c r="F213" s="3" t="str">
        <v>Bernard Shipping</v>
      </c>
      <c r="G213" s="3" t="str">
        <v>Rayes</v>
      </c>
      <c r="H213" s="3">
        <v>8806151</v>
      </c>
      <c r="I213" s="3" t="str">
        <v>GC</v>
      </c>
      <c r="J213" s="3" t="str">
        <v>Direct</v>
      </c>
    </row>
    <row r="214">
      <c r="A214" s="3">
        <v>45160</v>
      </c>
      <c r="B214" s="3" t="str">
        <v>R:Renewal</v>
      </c>
      <c r="C214" s="3" t="str">
        <v>P:P&amp;I</v>
      </c>
      <c r="D214" s="3">
        <f>D213+1</f>
        <v>387</v>
      </c>
      <c r="E214" s="3" t="str">
        <f>CONCAT("Q","/",LEFT(Table2[[#This Row],[Quotation Type]],1),"/", LEFT(Table2[[#This Row],[Branch]],1),"/", RIGHT(YEAR(TODAY()),2), "/",Table2[[#This Row],[Seq. Number]])</f>
        <v>Q/R/P/26/387</v>
      </c>
      <c r="F214" s="3" t="str">
        <v>Bernard Shipping</v>
      </c>
      <c r="G214" s="3" t="str">
        <v>Rayes</v>
      </c>
      <c r="H214" s="3">
        <v>8806151</v>
      </c>
      <c r="I214" s="3" t="str">
        <v>GC</v>
      </c>
      <c r="J214" s="3" t="str">
        <v>Direct</v>
      </c>
    </row>
    <row r="215">
      <c r="A215" s="3">
        <v>45160</v>
      </c>
      <c r="B215" s="3" t="str">
        <v>R:Renewal</v>
      </c>
      <c r="C215" s="3" t="str">
        <v>H:Hull</v>
      </c>
      <c r="D215" s="3">
        <f>D214+1</f>
        <v>388</v>
      </c>
      <c r="E215" s="3" t="str">
        <f>CONCAT("Q","/",LEFT(Table2[[#This Row],[Quotation Type]],1),"/", LEFT(Table2[[#This Row],[Branch]],1),"/", RIGHT(YEAR(TODAY()),2), "/",Table2[[#This Row],[Seq. Number]])</f>
        <v>Q/R/H/26/388</v>
      </c>
      <c r="F215" s="3" t="str">
        <v>Baaboud Trading</v>
      </c>
      <c r="I215" s="3" t="str">
        <v>Ro-Ro</v>
      </c>
      <c r="J215" s="3" t="str">
        <v>IPIC</v>
      </c>
    </row>
    <row r="216">
      <c r="A216" s="3">
        <v>45160</v>
      </c>
      <c r="B216" s="3" t="str">
        <v>R:Renewal</v>
      </c>
      <c r="C216" s="3" t="str">
        <v>W:War</v>
      </c>
      <c r="D216" s="3">
        <f>D215+1</f>
        <v>389</v>
      </c>
      <c r="E216" s="3" t="str">
        <f>CONCAT("Q","/",LEFT(Table2[[#This Row],[Quotation Type]],1),"/", LEFT(Table2[[#This Row],[Branch]],1),"/", RIGHT(YEAR(TODAY()),2), "/",Table2[[#This Row],[Seq. Number]])</f>
        <v>Q/R/W/26/389</v>
      </c>
      <c r="F216" s="3" t="str">
        <v>Baaboud Trading</v>
      </c>
      <c r="I216" s="3" t="str">
        <v>Ro-Ro</v>
      </c>
      <c r="J216" s="3" t="str">
        <v>IPIC</v>
      </c>
    </row>
    <row r="217">
      <c r="A217" s="3">
        <v>45162</v>
      </c>
      <c r="B217" s="3" t="str">
        <v>N:New Quotation</v>
      </c>
      <c r="C217" s="3" t="str">
        <v>H:Hull</v>
      </c>
      <c r="D217" s="3">
        <f>D216+1</f>
        <v>390</v>
      </c>
      <c r="E217" s="3" t="str">
        <f>CONCAT("Q","/",LEFT(Table2[[#This Row],[Quotation Type]],1),"/", LEFT(Table2[[#This Row],[Branch]],1),"/", RIGHT(YEAR(TODAY()),2), "/",Table2[[#This Row],[Seq. Number]])</f>
        <v>Q/N/H/26/390</v>
      </c>
      <c r="F217" s="3" t="str">
        <v>TQ Shipmanagement</v>
      </c>
      <c r="I217" s="3" t="str">
        <v>BC</v>
      </c>
      <c r="J217" s="3" t="str">
        <v>Kuzey</v>
      </c>
    </row>
    <row r="218">
      <c r="A218" s="3">
        <v>45162</v>
      </c>
      <c r="B218" s="3" t="str">
        <v>N:New Quotation</v>
      </c>
      <c r="C218" s="3" t="str">
        <v>W:War</v>
      </c>
      <c r="D218" s="3">
        <f>D217+1</f>
        <v>391</v>
      </c>
      <c r="E218" s="3" t="str">
        <f>CONCAT("Q","/",LEFT(Table2[[#This Row],[Quotation Type]],1),"/", LEFT(Table2[[#This Row],[Branch]],1),"/", RIGHT(YEAR(TODAY()),2), "/",Table2[[#This Row],[Seq. Number]])</f>
        <v>Q/N/W/26/391</v>
      </c>
      <c r="F218" s="3" t="str">
        <v>TQ Shipmanagement</v>
      </c>
      <c r="I218" s="3" t="str">
        <v>BC</v>
      </c>
      <c r="J218" s="3" t="str">
        <v>Kuzey</v>
      </c>
    </row>
    <row r="219">
      <c r="A219" s="3">
        <v>45163</v>
      </c>
      <c r="B219" s="3" t="str">
        <v>R:Renewal</v>
      </c>
      <c r="C219" s="3" t="str">
        <v>Y:Yacht</v>
      </c>
      <c r="D219" s="3">
        <f>D218+1</f>
        <v>392</v>
      </c>
      <c r="E219" s="3" t="str">
        <f>CONCAT("Q","/",LEFT(Table2[[#This Row],[Quotation Type]],1),"/", LEFT(Table2[[#This Row],[Branch]],1),"/", RIGHT(YEAR(TODAY()),2), "/",Table2[[#This Row],[Seq. Number]])</f>
        <v>Q/R/Y/26/392</v>
      </c>
      <c r="F219" s="3" t="str">
        <v>Pegasus Yachts</v>
      </c>
      <c r="G219" s="3" t="str">
        <v>Exodus</v>
      </c>
      <c r="I219" s="3" t="str">
        <v>Yacht</v>
      </c>
      <c r="J219" s="3" t="str">
        <v>Newberry</v>
      </c>
    </row>
    <row r="220">
      <c r="A220" s="3">
        <v>45163</v>
      </c>
      <c r="B220" s="3" t="str">
        <v>A:Addition</v>
      </c>
      <c r="C220" s="3" t="str">
        <v>P:P&amp;I</v>
      </c>
      <c r="D220" s="3">
        <f>D219+1</f>
        <v>393</v>
      </c>
      <c r="E220" s="3" t="str">
        <f>CONCAT("Q","/",LEFT(Table2[[#This Row],[Quotation Type]],1),"/", LEFT(Table2[[#This Row],[Branch]],1),"/", RIGHT(YEAR(TODAY()),2), "/",Table2[[#This Row],[Seq. Number]])</f>
        <v>Q/A/P/26/393</v>
      </c>
      <c r="F220" s="3" t="str">
        <v>SNG Shipping Company</v>
      </c>
      <c r="G220" s="3" t="str">
        <v>Karadeniz 5</v>
      </c>
      <c r="I220" s="3" t="str">
        <v>GC</v>
      </c>
      <c r="J220" s="3" t="str">
        <v>Kuzey</v>
      </c>
    </row>
    <row r="221">
      <c r="A221" s="3">
        <v>45167</v>
      </c>
      <c r="B221" s="3" t="str">
        <v>N:New Quotation</v>
      </c>
      <c r="C221" s="3" t="str">
        <v>H:Hull</v>
      </c>
      <c r="D221" s="3">
        <f>D220+1</f>
        <v>394</v>
      </c>
      <c r="E221" s="3" t="str">
        <f>CONCAT("Q","/",LEFT(Table2[[#This Row],[Quotation Type]],1),"/", LEFT(Table2[[#This Row],[Branch]],1),"/", RIGHT(YEAR(TODAY()),2), "/",Table2[[#This Row],[Seq. Number]])</f>
        <v>Q/N/H/26/394</v>
      </c>
      <c r="F221" s="3" t="str">
        <v>Crown Express Shipping</v>
      </c>
      <c r="G221" s="3" t="str">
        <v>Sea Crown</v>
      </c>
      <c r="I221" s="3" t="str">
        <v>O/T</v>
      </c>
      <c r="J221" s="3" t="str">
        <v>City</v>
      </c>
    </row>
    <row r="222">
      <c r="A222" s="3">
        <v>45167</v>
      </c>
      <c r="B222" s="3" t="str">
        <v>N:New Quotation</v>
      </c>
      <c r="C222" s="3" t="str">
        <v>W:War</v>
      </c>
      <c r="D222" s="3">
        <f>D221+1</f>
        <v>395</v>
      </c>
      <c r="E222" s="3" t="str">
        <f>CONCAT("Q","/",LEFT(Table2[[#This Row],[Quotation Type]],1),"/", LEFT(Table2[[#This Row],[Branch]],1),"/", RIGHT(YEAR(TODAY()),2), "/",Table2[[#This Row],[Seq. Number]])</f>
        <v>Q/N/W/26/395</v>
      </c>
      <c r="F222" s="3" t="str">
        <v>Crown Express Shipping</v>
      </c>
      <c r="J222" s="3" t="str">
        <v>City</v>
      </c>
    </row>
    <row r="223">
      <c r="A223" s="3">
        <v>45167</v>
      </c>
      <c r="B223" s="3" t="str">
        <v>N:New Quotation</v>
      </c>
      <c r="C223" s="3" t="str">
        <v>H:Hull</v>
      </c>
      <c r="D223" s="3">
        <f>D222+1</f>
        <v>396</v>
      </c>
      <c r="E223" s="3" t="str">
        <f>CONCAT("Q","/",LEFT(Table2[[#This Row],[Quotation Type]],1),"/", LEFT(Table2[[#This Row],[Branch]],1),"/", RIGHT(YEAR(TODAY()),2), "/",Table2[[#This Row],[Seq. Number]])</f>
        <v>Q/N/H/26/396</v>
      </c>
      <c r="F223" s="3" t="str">
        <v>Alquswaa Marine Services L.L.C</v>
      </c>
      <c r="G223" s="3" t="str">
        <v>Hashim Legacy</v>
      </c>
      <c r="H223" s="3">
        <v>8223244</v>
      </c>
      <c r="I223" s="3" t="str">
        <v>Ro-Ro</v>
      </c>
      <c r="J223" s="3" t="str">
        <v>IPIC</v>
      </c>
    </row>
    <row r="224">
      <c r="A224" s="3">
        <v>45167</v>
      </c>
      <c r="B224" s="3" t="str">
        <v>N:New Quotation</v>
      </c>
      <c r="C224" s="3" t="str">
        <v>H:Hull</v>
      </c>
      <c r="D224" s="3">
        <f>D223+1</f>
        <v>397</v>
      </c>
      <c r="E224" s="3" t="str">
        <f>CONCAT("Q","/",LEFT(Table2[[#This Row],[Quotation Type]],1),"/", LEFT(Table2[[#This Row],[Branch]],1),"/", RIGHT(YEAR(TODAY()),2), "/",Table2[[#This Row],[Seq. Number]])</f>
        <v>Q/N/H/26/397</v>
      </c>
      <c r="F224" s="3" t="str">
        <v>Crown Express Shipping</v>
      </c>
      <c r="G224" s="3" t="str">
        <v>Sea Crown II</v>
      </c>
      <c r="I224" s="3" t="str">
        <v>Supply Vessel</v>
      </c>
      <c r="J224" s="3" t="str">
        <v>City</v>
      </c>
    </row>
    <row r="225">
      <c r="A225" s="3">
        <v>45168</v>
      </c>
      <c r="B225" s="3" t="str">
        <v>N:New Quotation</v>
      </c>
      <c r="C225" s="3" t="str">
        <v>H:Hull</v>
      </c>
      <c r="D225" s="3">
        <f>D224+1</f>
        <v>398</v>
      </c>
      <c r="E225" s="3" t="str">
        <f>CONCAT("Q","/",LEFT(Table2[[#This Row],[Quotation Type]],1),"/", LEFT(Table2[[#This Row],[Branch]],1),"/", RIGHT(YEAR(TODAY()),2), "/",Table2[[#This Row],[Seq. Number]])</f>
        <v>Q/N/H/26/398</v>
      </c>
      <c r="F225" s="3" t="str">
        <v>High Waves Marine Services</v>
      </c>
      <c r="G225" s="3" t="str">
        <v>Jal Nyka</v>
      </c>
      <c r="I225" s="3" t="str">
        <v>Dredger</v>
      </c>
      <c r="J225" s="3" t="str">
        <v>IPIC</v>
      </c>
    </row>
    <row r="226">
      <c r="A226" s="3">
        <v>45168</v>
      </c>
      <c r="B226" s="3" t="str">
        <v>N:New Quotation</v>
      </c>
      <c r="C226" s="3" t="str">
        <v>P:P&amp;I</v>
      </c>
      <c r="D226" s="3">
        <f>D225+1</f>
        <v>399</v>
      </c>
      <c r="E226" s="3" t="str">
        <f>CONCAT("Q","/",LEFT(Table2[[#This Row],[Quotation Type]],1),"/", LEFT(Table2[[#This Row],[Branch]],1),"/", RIGHT(YEAR(TODAY()),2), "/",Table2[[#This Row],[Seq. Number]])</f>
        <v>Q/N/P/26/399</v>
      </c>
      <c r="F226" s="3" t="str">
        <v>Bek Deniz Tasimaciligi Tic. A.S.</v>
      </c>
      <c r="G226" s="3" t="str">
        <v>Kaan</v>
      </c>
      <c r="I226" s="3" t="str">
        <v>GC</v>
      </c>
      <c r="J226" s="3" t="str">
        <v>Kuzey</v>
      </c>
    </row>
    <row r="227">
      <c r="A227" s="3">
        <v>45168</v>
      </c>
      <c r="B227" s="3" t="str">
        <v>N:New Quotation</v>
      </c>
      <c r="C227" s="3" t="str">
        <v>V:Voyage</v>
      </c>
      <c r="D227" s="3">
        <f>D226+1</f>
        <v>400</v>
      </c>
      <c r="E227" s="3" t="str">
        <f>CONCAT("Q","/",LEFT(Table2[[#This Row],[Quotation Type]],1),"/", LEFT(Table2[[#This Row],[Branch]],1),"/", RIGHT(YEAR(TODAY()),2), "/",Table2[[#This Row],[Seq. Number]])</f>
        <v>Q/N/V/26/400</v>
      </c>
      <c r="G227" s="3" t="str">
        <v>Barge 34M</v>
      </c>
      <c r="I227" s="3" t="str">
        <v>Barge</v>
      </c>
      <c r="J227" s="3" t="str">
        <v>IPIC</v>
      </c>
    </row>
    <row r="228">
      <c r="A228" s="3">
        <v>45169</v>
      </c>
      <c r="B228" s="3" t="str">
        <v>N:New Quotation</v>
      </c>
      <c r="C228" s="3" t="str">
        <v>H:Hull</v>
      </c>
      <c r="D228" s="3">
        <f>D227+1</f>
        <v>401</v>
      </c>
      <c r="E228" s="3" t="str">
        <f>CONCAT("Q","/",LEFT(Table2[[#This Row],[Quotation Type]],1),"/", LEFT(Table2[[#This Row],[Branch]],1),"/", RIGHT(YEAR(TODAY()),2), "/",Table2[[#This Row],[Seq. Number]])</f>
        <v>Q/N/H/26/401</v>
      </c>
      <c r="G228" s="3" t="str">
        <v>Spring Sapo</v>
      </c>
    </row>
    <row r="229">
      <c r="A229" s="3">
        <v>45169</v>
      </c>
      <c r="B229" s="3" t="str">
        <v>N:New Quotation</v>
      </c>
      <c r="C229" s="3" t="str">
        <v>P:P&amp;I</v>
      </c>
      <c r="D229" s="3">
        <f>D228+1</f>
        <v>402</v>
      </c>
      <c r="E229" s="3" t="str">
        <f>CONCAT("Q","/",LEFT(Table2[[#This Row],[Quotation Type]],1),"/", LEFT(Table2[[#This Row],[Branch]],1),"/", RIGHT(YEAR(TODAY()),2), "/",Table2[[#This Row],[Seq. Number]])</f>
        <v>Q/N/P/26/402</v>
      </c>
      <c r="G229" s="3" t="str">
        <v>Spring Sapo</v>
      </c>
    </row>
    <row r="230">
      <c r="A230" s="3">
        <v>45173</v>
      </c>
      <c r="B230" s="3" t="str">
        <v>N:New Quotation</v>
      </c>
      <c r="C230" s="3" t="str">
        <v>P:P&amp;I</v>
      </c>
      <c r="D230" s="3">
        <f>D229+1</f>
        <v>403</v>
      </c>
      <c r="E230" s="3" t="str">
        <f>CONCAT("Q","/",LEFT(Table2[[#This Row],[Quotation Type]],1),"/", LEFT(Table2[[#This Row],[Branch]],1),"/", RIGHT(YEAR(TODAY()),2), "/",Table2[[#This Row],[Seq. Number]])</f>
        <v>Q/N/P/26/403</v>
      </c>
      <c r="F230" s="3" t="str">
        <v>Levant Ship Management</v>
      </c>
      <c r="G230" s="3" t="str">
        <v>Ro Queen</v>
      </c>
      <c r="H230" s="3">
        <v>9104263</v>
      </c>
      <c r="I230" s="3" t="str">
        <v>Ro-Ro</v>
      </c>
      <c r="J230" s="3" t="str">
        <v>Brandenburg</v>
      </c>
    </row>
    <row r="231">
      <c r="A231" s="3">
        <v>45173</v>
      </c>
      <c r="B231" s="3" t="str">
        <v>N:New Quotation</v>
      </c>
      <c r="C231" s="3" t="str">
        <v>P:P&amp;I</v>
      </c>
      <c r="D231" s="3">
        <f>D230+1</f>
        <v>404</v>
      </c>
      <c r="E231" s="3" t="str">
        <f>CONCAT("Q","/",LEFT(Table2[[#This Row],[Quotation Type]],1),"/", LEFT(Table2[[#This Row],[Branch]],1),"/", RIGHT(YEAR(TODAY()),2), "/",Table2[[#This Row],[Seq. Number]])</f>
        <v>Q/N/P/26/404</v>
      </c>
      <c r="F231" s="3" t="str">
        <v>Al Mahmoud</v>
      </c>
      <c r="G231" s="3" t="str">
        <v>Express M</v>
      </c>
      <c r="I231" s="3" t="str">
        <v>MLV</v>
      </c>
      <c r="J231" s="3" t="str">
        <v>Direct</v>
      </c>
    </row>
    <row r="232">
      <c r="A232" s="3">
        <v>45173</v>
      </c>
      <c r="B232" s="3" t="str">
        <v>N:New Quotation</v>
      </c>
      <c r="C232" s="3" t="str">
        <v>H:Hull</v>
      </c>
      <c r="D232" s="3">
        <f>D231+1</f>
        <v>405</v>
      </c>
      <c r="E232" s="3" t="str">
        <f>CONCAT("Q","/",LEFT(Table2[[#This Row],[Quotation Type]],1),"/", LEFT(Table2[[#This Row],[Branch]],1),"/", RIGHT(YEAR(TODAY()),2), "/",Table2[[#This Row],[Seq. Number]])</f>
        <v>Q/N/H/26/405</v>
      </c>
      <c r="F232" s="3" t="str">
        <v>Al Mahmoud</v>
      </c>
      <c r="G232" s="3" t="str">
        <v>Express M</v>
      </c>
      <c r="I232" s="3" t="str">
        <v>MLV</v>
      </c>
      <c r="J232" s="3" t="str">
        <v>Direct</v>
      </c>
    </row>
    <row r="233">
      <c r="A233" s="3">
        <v>45176</v>
      </c>
      <c r="B233" s="3" t="str">
        <v>R:Renewal</v>
      </c>
      <c r="C233" s="3" t="str">
        <v>H:Hull</v>
      </c>
      <c r="D233" s="3">
        <f>D232+1</f>
        <v>406</v>
      </c>
      <c r="E233" s="3" t="str">
        <f>CONCAT("Q","/",LEFT(Table2[[#This Row],[Quotation Type]],1),"/", LEFT(Table2[[#This Row],[Branch]],1),"/", RIGHT(YEAR(TODAY()),2), "/",Table2[[#This Row],[Seq. Number]])</f>
        <v>Q/R/H/26/406</v>
      </c>
      <c r="F233" s="3" t="str">
        <v>El Kashawi</v>
      </c>
      <c r="G233" s="3" t="str">
        <v>Golden Bird</v>
      </c>
      <c r="H233" s="3">
        <v>8517580</v>
      </c>
      <c r="I233" s="3" t="str">
        <v>GC</v>
      </c>
      <c r="J233" s="3" t="str">
        <v>Direct</v>
      </c>
    </row>
    <row r="234">
      <c r="A234" s="3">
        <v>45176</v>
      </c>
      <c r="B234" s="3" t="str">
        <v>R:Renewal</v>
      </c>
      <c r="C234" s="3" t="str">
        <v>H:Hull</v>
      </c>
      <c r="D234" s="3">
        <f>D233+1</f>
        <v>407</v>
      </c>
      <c r="E234" s="3" t="str">
        <f>CONCAT("Q","/",LEFT(Table2[[#This Row],[Quotation Type]],1),"/", LEFT(Table2[[#This Row],[Branch]],1),"/", RIGHT(YEAR(TODAY()),2), "/",Table2[[#This Row],[Seq. Number]])</f>
        <v>Q/R/H/26/407</v>
      </c>
      <c r="F234" s="3" t="str">
        <v>SSS</v>
      </c>
      <c r="G234" s="3" t="str">
        <v>White Whale</v>
      </c>
      <c r="H234" s="3">
        <v>9230426</v>
      </c>
      <c r="I234" s="3" t="str">
        <v>O/T</v>
      </c>
      <c r="J234" s="3" t="str">
        <v>SSS</v>
      </c>
    </row>
    <row r="235">
      <c r="A235" s="3">
        <v>45176</v>
      </c>
      <c r="B235" s="3" t="str">
        <v>R:Renewal</v>
      </c>
      <c r="C235" s="3" t="str">
        <v>W:War</v>
      </c>
      <c r="D235" s="3">
        <f>D234+1</f>
        <v>408</v>
      </c>
      <c r="E235" s="3" t="str">
        <f>CONCAT("Q","/",LEFT(Table2[[#This Row],[Quotation Type]],1),"/", LEFT(Table2[[#This Row],[Branch]],1),"/", RIGHT(YEAR(TODAY()),2), "/",Table2[[#This Row],[Seq. Number]])</f>
        <v>Q/R/W/26/408</v>
      </c>
      <c r="F235" s="3" t="str">
        <v>SSS</v>
      </c>
      <c r="G235" s="3" t="str">
        <v>White Whale</v>
      </c>
      <c r="H235" s="3">
        <v>9230426</v>
      </c>
      <c r="I235" s="3" t="str">
        <v>O/T</v>
      </c>
      <c r="J235" s="3" t="str">
        <v>SSS</v>
      </c>
    </row>
    <row r="236">
      <c r="A236" s="3">
        <v>45176</v>
      </c>
      <c r="B236" s="3" t="str">
        <v>R:Renewal</v>
      </c>
      <c r="C236" s="3" t="str">
        <v>H:Hull</v>
      </c>
      <c r="D236" s="3">
        <f>D235+1</f>
        <v>409</v>
      </c>
      <c r="E236" s="3" t="str">
        <f>CONCAT("Q","/",LEFT(Table2[[#This Row],[Quotation Type]],1),"/", LEFT(Table2[[#This Row],[Branch]],1),"/", RIGHT(YEAR(TODAY()),2), "/",Table2[[#This Row],[Seq. Number]])</f>
        <v>Q/R/H/26/409</v>
      </c>
      <c r="F236" s="3" t="str">
        <v>Namma</v>
      </c>
      <c r="I236" s="3" t="str">
        <v>Ro-Ro</v>
      </c>
      <c r="J236" s="3" t="str">
        <v>CR</v>
      </c>
    </row>
    <row r="237">
      <c r="A237" s="3">
        <v>45176</v>
      </c>
      <c r="B237" s="3" t="str">
        <v>R:Renewal</v>
      </c>
      <c r="C237" s="3" t="str">
        <v>W:War</v>
      </c>
      <c r="D237" s="3">
        <f>D236+1</f>
        <v>410</v>
      </c>
      <c r="E237" s="3" t="str">
        <f>CONCAT("Q","/",LEFT(Table2[[#This Row],[Quotation Type]],1),"/", LEFT(Table2[[#This Row],[Branch]],1),"/", RIGHT(YEAR(TODAY()),2), "/",Table2[[#This Row],[Seq. Number]])</f>
        <v>Q/R/W/26/410</v>
      </c>
      <c r="F237" s="3" t="str">
        <v>Namma</v>
      </c>
      <c r="I237" s="3" t="str">
        <v>Ro-Ro</v>
      </c>
      <c r="J237" s="3" t="str">
        <v>CR</v>
      </c>
    </row>
    <row r="238">
      <c r="A238" s="3">
        <v>45177</v>
      </c>
      <c r="B238" s="3" t="str">
        <v>R:Renewal</v>
      </c>
      <c r="C238" s="3" t="str">
        <v>H:Hull</v>
      </c>
      <c r="D238" s="3">
        <f>D237+1</f>
        <v>411</v>
      </c>
      <c r="E238" s="3" t="str">
        <f>CONCAT("Q","/",LEFT(Table2[[#This Row],[Quotation Type]],1),"/", LEFT(Table2[[#This Row],[Branch]],1),"/", RIGHT(YEAR(TODAY()),2), "/",Table2[[#This Row],[Seq. Number]])</f>
        <v>Q/R/H/26/411</v>
      </c>
      <c r="F238" s="3" t="str">
        <v>Khalifeh</v>
      </c>
      <c r="I238" s="3" t="str">
        <v>MLV</v>
      </c>
      <c r="J238" s="3" t="str">
        <v>Direct</v>
      </c>
    </row>
    <row r="239">
      <c r="A239" s="3">
        <v>45177</v>
      </c>
      <c r="B239" s="3" t="str">
        <v>R:Renewal</v>
      </c>
      <c r="C239" s="3" t="str">
        <v>P:P&amp;I</v>
      </c>
      <c r="D239" s="3">
        <f>D238+1</f>
        <v>412</v>
      </c>
      <c r="E239" s="3" t="str">
        <f>CONCAT("Q","/",LEFT(Table2[[#This Row],[Quotation Type]],1),"/", LEFT(Table2[[#This Row],[Branch]],1),"/", RIGHT(YEAR(TODAY()),2), "/",Table2[[#This Row],[Seq. Number]])</f>
        <v>Q/R/P/26/412</v>
      </c>
      <c r="F239" s="3" t="str">
        <v>Khalifeh</v>
      </c>
      <c r="I239" s="3" t="str">
        <v>MLV</v>
      </c>
      <c r="J239" s="3" t="str">
        <v>Direct</v>
      </c>
    </row>
    <row r="240">
      <c r="A240" s="3">
        <v>45177</v>
      </c>
      <c r="B240" s="3" t="str">
        <v>R:Renewal</v>
      </c>
      <c r="C240" s="3" t="str">
        <v>W:War</v>
      </c>
      <c r="D240" s="3">
        <f>D239+1</f>
        <v>413</v>
      </c>
      <c r="E240" s="3" t="str">
        <f>CONCAT("Q","/",LEFT(Table2[[#This Row],[Quotation Type]],1),"/", LEFT(Table2[[#This Row],[Branch]],1),"/", RIGHT(YEAR(TODAY()),2), "/",Table2[[#This Row],[Seq. Number]])</f>
        <v>Q/R/W/26/413</v>
      </c>
      <c r="F240" s="3" t="str">
        <v>Khalifeh</v>
      </c>
      <c r="I240" s="3" t="str">
        <v>MLV</v>
      </c>
      <c r="J240" s="3" t="str">
        <v>Direct</v>
      </c>
    </row>
    <row r="241">
      <c r="A241" s="3">
        <v>45176</v>
      </c>
      <c r="B241" s="3" t="str">
        <v>R:Renewal</v>
      </c>
      <c r="C241" s="3" t="str">
        <v>H:Hull</v>
      </c>
      <c r="D241" s="3">
        <f>D240+1</f>
        <v>414</v>
      </c>
      <c r="E241" s="3" t="str">
        <f>CONCAT("Q","/",LEFT(Table2[[#This Row],[Quotation Type]],1),"/", LEFT(Table2[[#This Row],[Branch]],1),"/", RIGHT(YEAR(TODAY()),2), "/",Table2[[#This Row],[Seq. Number]])</f>
        <v>Q/R/H/26/414</v>
      </c>
      <c r="F241" s="3" t="str">
        <v>SSS</v>
      </c>
      <c r="G241" s="3" t="str">
        <v>Princess Halima</v>
      </c>
      <c r="H241" s="3">
        <v>9179347</v>
      </c>
      <c r="I241" s="3" t="str">
        <v>O/T</v>
      </c>
      <c r="J241" s="3" t="str">
        <v>SSS</v>
      </c>
    </row>
    <row r="242">
      <c r="A242" s="3">
        <v>45176</v>
      </c>
      <c r="B242" s="3" t="str">
        <v>R:Renewal</v>
      </c>
      <c r="C242" s="3" t="str">
        <v>W:War</v>
      </c>
      <c r="D242" s="3">
        <f>D241+1</f>
        <v>415</v>
      </c>
      <c r="E242" s="3" t="str">
        <f>CONCAT("Q","/",LEFT(Table2[[#This Row],[Quotation Type]],1),"/", LEFT(Table2[[#This Row],[Branch]],1),"/", RIGHT(YEAR(TODAY()),2), "/",Table2[[#This Row],[Seq. Number]])</f>
        <v>Q/R/W/26/415</v>
      </c>
      <c r="F242" s="3" t="str">
        <v>SSS</v>
      </c>
      <c r="G242" s="3" t="str">
        <v>Princess Halima</v>
      </c>
      <c r="H242" s="3">
        <v>9179347</v>
      </c>
      <c r="I242" s="3" t="str">
        <v>O/T</v>
      </c>
      <c r="J242" s="3" t="str">
        <v>SSS</v>
      </c>
    </row>
    <row r="243">
      <c r="A243" s="3">
        <v>45176</v>
      </c>
      <c r="B243" s="3" t="str">
        <v>R:Renewal</v>
      </c>
      <c r="C243" s="3" t="str">
        <v>H:Hull</v>
      </c>
      <c r="D243" s="3">
        <f>D242+1</f>
        <v>416</v>
      </c>
      <c r="E243" s="3" t="str">
        <f>CONCAT("Q","/",LEFT(Table2[[#This Row],[Quotation Type]],1),"/", LEFT(Table2[[#This Row],[Branch]],1),"/", RIGHT(YEAR(TODAY()),2), "/",Table2[[#This Row],[Seq. Number]])</f>
        <v>Q/R/H/26/416</v>
      </c>
      <c r="G243" s="3" t="str">
        <v>Sadaf</v>
      </c>
      <c r="H243" s="3">
        <v>8218859</v>
      </c>
      <c r="I243" s="3" t="str">
        <v>Tug</v>
      </c>
      <c r="J243" s="3" t="str">
        <v>IPIC</v>
      </c>
    </row>
    <row r="244">
      <c r="A244" s="3">
        <v>45182</v>
      </c>
      <c r="B244" s="3" t="str">
        <v>N:New Quotation</v>
      </c>
      <c r="C244" s="3" t="str">
        <v>Y:Yacht</v>
      </c>
      <c r="D244" s="3">
        <f>D243+1</f>
        <v>417</v>
      </c>
      <c r="E244" s="3" t="str">
        <f>CONCAT("Q","/",LEFT(Table2[[#This Row],[Quotation Type]],1),"/", LEFT(Table2[[#This Row],[Branch]],1),"/", RIGHT(YEAR(TODAY()),2), "/",Table2[[#This Row],[Seq. Number]])</f>
        <v>Q/N/Y/26/417</v>
      </c>
      <c r="F244" s="3" t="str">
        <v>2S Holdings</v>
      </c>
      <c r="G244" s="3" t="str">
        <v>Kalizma</v>
      </c>
      <c r="I244" s="3" t="str">
        <v>Yacht</v>
      </c>
      <c r="J244" s="3" t="str">
        <v>Marsh</v>
      </c>
    </row>
    <row r="245">
      <c r="A245" s="3">
        <v>45182</v>
      </c>
      <c r="B245" s="3" t="str">
        <v>R:Renewal</v>
      </c>
      <c r="C245" s="3" t="str">
        <v>H:Hull</v>
      </c>
      <c r="D245" s="3">
        <f>D244+1</f>
        <v>418</v>
      </c>
      <c r="E245" s="3" t="str">
        <f>CONCAT("Q","/",LEFT(Table2[[#This Row],[Quotation Type]],1),"/", LEFT(Table2[[#This Row],[Branch]],1),"/", RIGHT(YEAR(TODAY()),2), "/",Table2[[#This Row],[Seq. Number]])</f>
        <v>Q/R/H/26/418</v>
      </c>
      <c r="F245" s="3" t="str">
        <v>KM Ship Management</v>
      </c>
      <c r="I245" s="3" t="str">
        <v>Container</v>
      </c>
      <c r="J245" s="3" t="str">
        <v>Kominsur</v>
      </c>
    </row>
    <row r="246">
      <c r="A246" s="3">
        <v>45182</v>
      </c>
      <c r="B246" s="3" t="str">
        <v>R:Renewal</v>
      </c>
      <c r="C246" s="3" t="str">
        <v>W:War</v>
      </c>
      <c r="D246" s="3">
        <f>D245+1</f>
        <v>419</v>
      </c>
      <c r="E246" s="3" t="str">
        <f>CONCAT("Q","/",LEFT(Table2[[#This Row],[Quotation Type]],1),"/", LEFT(Table2[[#This Row],[Branch]],1),"/", RIGHT(YEAR(TODAY()),2), "/",Table2[[#This Row],[Seq. Number]])</f>
        <v>Q/R/W/26/419</v>
      </c>
      <c r="F246" s="3" t="str">
        <v>Neapoli Shipping</v>
      </c>
      <c r="G246" s="3" t="str">
        <v>Lugano</v>
      </c>
      <c r="H246" s="3">
        <v>9132662</v>
      </c>
      <c r="I246" s="3" t="str">
        <v>BC</v>
      </c>
      <c r="J246" s="3" t="str">
        <v>Sarnia</v>
      </c>
    </row>
    <row r="247">
      <c r="A247" s="3">
        <v>45182</v>
      </c>
      <c r="B247" s="3" t="str">
        <v>N:New Quotation</v>
      </c>
      <c r="C247" s="3" t="str">
        <v>P:P&amp;I</v>
      </c>
      <c r="D247" s="3">
        <f>D246+1</f>
        <v>420</v>
      </c>
      <c r="E247" s="3" t="str">
        <f>CONCAT("Q","/",LEFT(Table2[[#This Row],[Quotation Type]],1),"/", LEFT(Table2[[#This Row],[Branch]],1),"/", RIGHT(YEAR(TODAY()),2), "/",Table2[[#This Row],[Seq. Number]])</f>
        <v>Q/N/P/26/420</v>
      </c>
      <c r="F247" s="3" t="str">
        <v>Luban Shipping</v>
      </c>
      <c r="G247" s="3" t="str">
        <v>Cave</v>
      </c>
      <c r="H247" s="3">
        <v>8217714</v>
      </c>
      <c r="I247" s="3" t="str">
        <v>GC</v>
      </c>
      <c r="J247" s="3" t="str">
        <v>Alfamarine</v>
      </c>
    </row>
    <row r="248">
      <c r="A248" s="3">
        <v>45184</v>
      </c>
      <c r="B248" s="3" t="str">
        <v>R:Renewal</v>
      </c>
      <c r="C248" s="3" t="str">
        <v>H:Hull</v>
      </c>
      <c r="D248" s="3">
        <f>D247+1</f>
        <v>421</v>
      </c>
      <c r="E248" s="3" t="str">
        <f>CONCAT("Q","/",LEFT(Table2[[#This Row],[Quotation Type]],1),"/", LEFT(Table2[[#This Row],[Branch]],1),"/", RIGHT(YEAR(TODAY()),2), "/",Table2[[#This Row],[Seq. Number]])</f>
        <v>Q/R/H/26/421</v>
      </c>
      <c r="F248" s="3" t="str">
        <v>Al Mahmoud</v>
      </c>
      <c r="G248" s="3" t="str">
        <v>Finola M</v>
      </c>
      <c r="H248" s="3">
        <v>8616623</v>
      </c>
      <c r="I248" s="3" t="str">
        <v>MLV</v>
      </c>
      <c r="J248" s="3" t="str">
        <v>Direct</v>
      </c>
    </row>
    <row r="249">
      <c r="A249" s="3">
        <v>45184</v>
      </c>
      <c r="B249" s="3" t="str">
        <v>R:Renewal</v>
      </c>
      <c r="C249" s="3" t="str">
        <v>P:P&amp;I</v>
      </c>
      <c r="D249" s="3">
        <f>D248+1</f>
        <v>422</v>
      </c>
      <c r="E249" s="3" t="str">
        <f>CONCAT("Q","/",LEFT(Table2[[#This Row],[Quotation Type]],1),"/", LEFT(Table2[[#This Row],[Branch]],1),"/", RIGHT(YEAR(TODAY()),2), "/",Table2[[#This Row],[Seq. Number]])</f>
        <v>Q/R/P/26/422</v>
      </c>
      <c r="F249" s="3" t="str">
        <v>Al Mahmoud</v>
      </c>
      <c r="G249" s="3" t="str">
        <v>Finola M</v>
      </c>
      <c r="H249" s="3">
        <v>8616623</v>
      </c>
      <c r="I249" s="3" t="str">
        <v>MLV</v>
      </c>
      <c r="J249" s="3" t="str">
        <v>Direct</v>
      </c>
    </row>
    <row r="250">
      <c r="A250" s="3">
        <v>45189</v>
      </c>
      <c r="B250" s="3" t="str">
        <v>N:New Quotation</v>
      </c>
      <c r="C250" s="3" t="str">
        <v>H:Hull</v>
      </c>
      <c r="D250" s="3">
        <f>D249+1</f>
        <v>423</v>
      </c>
      <c r="E250" s="3" t="str">
        <f>CONCAT("Q","/",LEFT(Table2[[#This Row],[Quotation Type]],1),"/", LEFT(Table2[[#This Row],[Branch]],1),"/", RIGHT(YEAR(TODAY()),2), "/",Table2[[#This Row],[Seq. Number]])</f>
        <v>Q/N/H/26/423</v>
      </c>
      <c r="F250" s="3" t="str">
        <v>Artemis Shipping</v>
      </c>
      <c r="I250" s="3" t="str">
        <v>Deck Carrier</v>
      </c>
      <c r="J250" s="3" t="str">
        <v>IPIC</v>
      </c>
    </row>
    <row r="251">
      <c r="A251" s="3">
        <v>45189</v>
      </c>
      <c r="B251" s="3" t="str">
        <v>N:New Quotation</v>
      </c>
      <c r="C251" s="3" t="str">
        <v>P:P&amp;I</v>
      </c>
      <c r="D251" s="3">
        <f>D250+1</f>
        <v>424</v>
      </c>
      <c r="E251" s="3" t="str">
        <f>CONCAT("Q","/",LEFT(Table2[[#This Row],[Quotation Type]],1),"/", LEFT(Table2[[#This Row],[Branch]],1),"/", RIGHT(YEAR(TODAY()),2), "/",Table2[[#This Row],[Seq. Number]])</f>
        <v>Q/N/P/26/424</v>
      </c>
      <c r="F251" s="3" t="str">
        <v>USC Marine FZCO</v>
      </c>
      <c r="G251" s="3" t="str">
        <v>Princess Masa</v>
      </c>
      <c r="I251" s="3" t="str">
        <v>GC</v>
      </c>
      <c r="J251" s="3" t="str">
        <v>Direct</v>
      </c>
    </row>
    <row r="252">
      <c r="A252" s="3">
        <v>45189</v>
      </c>
      <c r="B252" s="3" t="str">
        <v>N:New Quotation</v>
      </c>
      <c r="C252" s="3" t="str">
        <v>H:Hull</v>
      </c>
      <c r="D252" s="3">
        <f>D251+1</f>
        <v>425</v>
      </c>
      <c r="E252" s="3" t="str">
        <f>CONCAT("Q","/",LEFT(Table2[[#This Row],[Quotation Type]],1),"/", LEFT(Table2[[#This Row],[Branch]],1),"/", RIGHT(YEAR(TODAY()),2), "/",Table2[[#This Row],[Seq. Number]])</f>
        <v>Q/N/H/26/425</v>
      </c>
      <c r="G252" s="3" t="str">
        <v>Roz Y</v>
      </c>
      <c r="I252" s="3" t="str">
        <v>GC</v>
      </c>
      <c r="J252" s="3" t="str">
        <v>Direct</v>
      </c>
    </row>
    <row r="253">
      <c r="A253" s="3">
        <v>45189</v>
      </c>
      <c r="B253" s="3" t="str">
        <v>N:New Quotation</v>
      </c>
      <c r="C253" s="3" t="str">
        <v>P:P&amp;I</v>
      </c>
      <c r="D253" s="3">
        <f>D252+1</f>
        <v>426</v>
      </c>
      <c r="E253" s="3" t="str">
        <f>CONCAT("Q","/",LEFT(Table2[[#This Row],[Quotation Type]],1),"/", LEFT(Table2[[#This Row],[Branch]],1),"/", RIGHT(YEAR(TODAY()),2), "/",Table2[[#This Row],[Seq. Number]])</f>
        <v>Q/N/P/26/426</v>
      </c>
      <c r="G253" s="3" t="str">
        <v>Roz Y</v>
      </c>
      <c r="I253" s="3" t="str">
        <v>GC</v>
      </c>
      <c r="J253" s="3" t="str">
        <v>Direct</v>
      </c>
    </row>
    <row r="254">
      <c r="A254" s="3">
        <v>45190</v>
      </c>
      <c r="B254" s="3" t="str">
        <v>N:New Quotation</v>
      </c>
      <c r="C254" s="3" t="str">
        <v>H:Hull</v>
      </c>
      <c r="D254" s="3">
        <f>D253+1</f>
        <v>427</v>
      </c>
      <c r="E254" s="3" t="str">
        <f>CONCAT("Q","/",LEFT(Table2[[#This Row],[Quotation Type]],1),"/", LEFT(Table2[[#This Row],[Branch]],1),"/", RIGHT(YEAR(TODAY()),2), "/",Table2[[#This Row],[Seq. Number]])</f>
        <v>Q/N/H/26/427</v>
      </c>
      <c r="F254" s="3" t="str">
        <v>Sygnius Ship Management</v>
      </c>
      <c r="G254" s="3" t="str">
        <v>Super Martinelli</v>
      </c>
      <c r="I254" s="3" t="str">
        <v>BC</v>
      </c>
      <c r="J254" s="3" t="str">
        <v>City</v>
      </c>
    </row>
    <row r="255">
      <c r="A255" s="3">
        <v>45190</v>
      </c>
      <c r="B255" s="3" t="str">
        <v>R:Renewal</v>
      </c>
      <c r="C255" s="3" t="str">
        <v>H:Hull</v>
      </c>
      <c r="D255" s="3">
        <f>D254+1</f>
        <v>428</v>
      </c>
      <c r="E255" s="3" t="str">
        <f>CONCAT("Q","/",LEFT(Table2[[#This Row],[Quotation Type]],1),"/", LEFT(Table2[[#This Row],[Branch]],1),"/", RIGHT(YEAR(TODAY()),2), "/",Table2[[#This Row],[Seq. Number]])</f>
        <v>Q/R/H/26/428</v>
      </c>
      <c r="F255" s="3" t="str">
        <v>MTR Management</v>
      </c>
      <c r="G255" s="3" t="str">
        <v>Queen Eliza</v>
      </c>
      <c r="I255" s="3" t="str">
        <v>GC</v>
      </c>
      <c r="J255" s="3" t="str">
        <v>Direct</v>
      </c>
    </row>
    <row r="256">
      <c r="A256" s="3">
        <v>45190</v>
      </c>
      <c r="B256" s="3" t="str">
        <v>N:New Quotation</v>
      </c>
      <c r="C256" s="3" t="str">
        <v>P:P&amp;I</v>
      </c>
      <c r="D256" s="3">
        <f>D255+1</f>
        <v>429</v>
      </c>
      <c r="E256" s="3" t="str">
        <f>CONCAT("Q","/",LEFT(Table2[[#This Row],[Quotation Type]],1),"/", LEFT(Table2[[#This Row],[Branch]],1),"/", RIGHT(YEAR(TODAY()),2), "/",Table2[[#This Row],[Seq. Number]])</f>
        <v>Q/N/P/26/429</v>
      </c>
      <c r="F256" s="3" t="str">
        <v>Glorious Shipping</v>
      </c>
      <c r="I256" s="3" t="str">
        <v>GC</v>
      </c>
      <c r="J256" s="3" t="str">
        <v>Sarnia</v>
      </c>
    </row>
    <row r="257">
      <c r="A257" s="3">
        <v>45195</v>
      </c>
      <c r="B257" s="3" t="str">
        <v>A:Addition</v>
      </c>
      <c r="C257" s="3" t="str">
        <v>H:Hull</v>
      </c>
      <c r="D257" s="3">
        <f>D256+1</f>
        <v>430</v>
      </c>
      <c r="E257" s="3" t="str">
        <f>CONCAT("Q","/",LEFT(Table2[[#This Row],[Quotation Type]],1),"/", LEFT(Table2[[#This Row],[Branch]],1),"/", RIGHT(YEAR(TODAY()),2), "/",Table2[[#This Row],[Seq. Number]])</f>
        <v>Q/A/H/26/430</v>
      </c>
      <c r="F257" s="3" t="str">
        <v>HGB Management OU</v>
      </c>
      <c r="G257" s="3" t="str">
        <v>Sky Light</v>
      </c>
      <c r="H257" s="3">
        <v>9118513</v>
      </c>
      <c r="I257" s="3" t="str">
        <v>Container</v>
      </c>
      <c r="J257" s="3" t="str">
        <v>Kominsur</v>
      </c>
    </row>
    <row r="258">
      <c r="A258" s="3">
        <v>45195</v>
      </c>
      <c r="B258" s="3" t="str">
        <v>N:New Quotation</v>
      </c>
      <c r="C258" s="3" t="str">
        <v>P:P&amp;I</v>
      </c>
      <c r="D258" s="3">
        <f>D257+1</f>
        <v>431</v>
      </c>
      <c r="E258" s="3" t="str">
        <f>CONCAT("Q","/",LEFT(Table2[[#This Row],[Quotation Type]],1),"/", LEFT(Table2[[#This Row],[Branch]],1),"/", RIGHT(YEAR(TODAY()),2), "/",Table2[[#This Row],[Seq. Number]])</f>
        <v>Q/N/P/26/431</v>
      </c>
      <c r="F258" s="3" t="str">
        <v>SSS</v>
      </c>
      <c r="G258" s="3" t="str">
        <v>Karla Faye</v>
      </c>
      <c r="I258" s="3" t="str">
        <v>Fishing Vessel</v>
      </c>
      <c r="J258" s="3" t="str">
        <v>SSS</v>
      </c>
    </row>
    <row r="259">
      <c r="A259" s="3">
        <v>45195</v>
      </c>
      <c r="B259" s="3" t="str">
        <v>N:New Quotation</v>
      </c>
      <c r="C259" s="3" t="str">
        <v>H:Hull</v>
      </c>
      <c r="D259" s="3">
        <f>D258+1</f>
        <v>432</v>
      </c>
      <c r="E259" s="3" t="str">
        <f>CONCAT("Q","/",LEFT(Table2[[#This Row],[Quotation Type]],1),"/", LEFT(Table2[[#This Row],[Branch]],1),"/", RIGHT(YEAR(TODAY()),2), "/",Table2[[#This Row],[Seq. Number]])</f>
        <v>Q/N/H/26/432</v>
      </c>
      <c r="F259" s="3" t="str">
        <v>Project Consulting &amp; Managing</v>
      </c>
      <c r="G259" s="3" t="str">
        <v>Franklin 2/3</v>
      </c>
      <c r="I259" s="3" t="str">
        <v>O/T</v>
      </c>
      <c r="J259" s="3" t="str">
        <v>Direct</v>
      </c>
    </row>
    <row r="260">
      <c r="A260" s="3">
        <v>45197</v>
      </c>
      <c r="B260" s="3" t="str">
        <v>N:New Quotation</v>
      </c>
      <c r="C260" s="3" t="str">
        <v>P:P&amp;I</v>
      </c>
      <c r="D260" s="3">
        <f>D259+1</f>
        <v>433</v>
      </c>
      <c r="E260" s="3" t="str">
        <f>CONCAT("Q","/",LEFT(Table2[[#This Row],[Quotation Type]],1),"/", LEFT(Table2[[#This Row],[Branch]],1),"/", RIGHT(YEAR(TODAY()),2), "/",Table2[[#This Row],[Seq. Number]])</f>
        <v>Q/N/P/26/433</v>
      </c>
      <c r="F260" s="3" t="str">
        <v>Valmar Oil</v>
      </c>
      <c r="I260" s="3" t="str">
        <v>GC</v>
      </c>
      <c r="J260" s="3" t="str">
        <v>Brandenburg</v>
      </c>
    </row>
    <row r="261">
      <c r="A261" s="3">
        <v>45197</v>
      </c>
      <c r="B261" s="3" t="str">
        <v>N:New Quotation</v>
      </c>
      <c r="C261" s="3" t="str">
        <v>H:Hull</v>
      </c>
      <c r="D261" s="3">
        <f>D260+1</f>
        <v>434</v>
      </c>
      <c r="E261" s="3" t="str">
        <f>CONCAT("Q","/",LEFT(Table2[[#This Row],[Quotation Type]],1),"/", LEFT(Table2[[#This Row],[Branch]],1),"/", RIGHT(YEAR(TODAY()),2), "/",Table2[[#This Row],[Seq. Number]])</f>
        <v>Q/N/H/26/434</v>
      </c>
      <c r="F261" s="3" t="str">
        <v>Emirates Shipping</v>
      </c>
      <c r="G261" s="3" t="str">
        <v>Fox 2</v>
      </c>
      <c r="H261" s="3">
        <v>8521244</v>
      </c>
      <c r="I261" s="3" t="str">
        <v>GC</v>
      </c>
      <c r="J261" s="3" t="str">
        <v>IPIC</v>
      </c>
    </row>
    <row r="262">
      <c r="A262" s="3">
        <v>45197</v>
      </c>
      <c r="B262" s="3" t="str">
        <v>R:Renewal</v>
      </c>
      <c r="C262" s="3" t="str">
        <v>H:Hull</v>
      </c>
      <c r="D262" s="3">
        <f>D261+1</f>
        <v>435</v>
      </c>
      <c r="E262" s="3" t="str">
        <f>CONCAT("Q","/",LEFT(Table2[[#This Row],[Quotation Type]],1),"/", LEFT(Table2[[#This Row],[Branch]],1),"/", RIGHT(YEAR(TODAY()),2), "/",Table2[[#This Row],[Seq. Number]])</f>
        <v>Q/R/H/26/435</v>
      </c>
      <c r="F262" s="3" t="str">
        <v>Suez Shipping Management Company</v>
      </c>
      <c r="G262" s="3" t="str">
        <v>Kenz</v>
      </c>
      <c r="H262" s="3">
        <v>8009014</v>
      </c>
      <c r="I262" s="3" t="str">
        <v>Ro-Ro</v>
      </c>
      <c r="J262" s="3" t="str">
        <v>Mesco</v>
      </c>
    </row>
    <row r="263">
      <c r="A263" s="3">
        <v>45198</v>
      </c>
      <c r="B263" s="3" t="str">
        <v>N:New Quotation</v>
      </c>
      <c r="C263" s="3" t="str">
        <v>H:Hull</v>
      </c>
      <c r="D263" s="3">
        <f>D262+1</f>
        <v>436</v>
      </c>
      <c r="E263" s="3" t="str">
        <f>CONCAT("Q","/",LEFT(Table2[[#This Row],[Quotation Type]],1),"/", LEFT(Table2[[#This Row],[Branch]],1),"/", RIGHT(YEAR(TODAY()),2), "/",Table2[[#This Row],[Seq. Number]])</f>
        <v>Q/N/H/26/436</v>
      </c>
      <c r="F263" s="3" t="str">
        <v>Brij Maritime Pvt ltd</v>
      </c>
      <c r="G263" s="3" t="str">
        <v>N Orhan</v>
      </c>
      <c r="H263" s="3">
        <v>9130456</v>
      </c>
      <c r="I263" s="3" t="str">
        <v>LPG</v>
      </c>
      <c r="J263" s="3" t="str">
        <v>City</v>
      </c>
    </row>
    <row r="264">
      <c r="A264" s="3">
        <v>45198</v>
      </c>
      <c r="B264" s="3" t="str">
        <v>N:New Quotation</v>
      </c>
      <c r="C264" s="3" t="str">
        <v>W:War</v>
      </c>
      <c r="D264" s="3">
        <f>D263+1</f>
        <v>437</v>
      </c>
      <c r="E264" s="3" t="str">
        <f>CONCAT("Q","/",LEFT(Table2[[#This Row],[Quotation Type]],1),"/", LEFT(Table2[[#This Row],[Branch]],1),"/", RIGHT(YEAR(TODAY()),2), "/",Table2[[#This Row],[Seq. Number]])</f>
        <v>Q/N/W/26/437</v>
      </c>
      <c r="F264" s="3" t="str">
        <v>Brij Maritime Pvt ltd</v>
      </c>
      <c r="G264" s="3" t="str">
        <v>N Orhan</v>
      </c>
      <c r="H264" s="3">
        <v>9130456</v>
      </c>
      <c r="I264" s="3" t="str">
        <v>LPG</v>
      </c>
      <c r="J264" s="3" t="str">
        <v>City</v>
      </c>
    </row>
    <row r="265">
      <c r="A265" s="3">
        <v>45201</v>
      </c>
      <c r="B265" s="3" t="str">
        <v>R:Renewal</v>
      </c>
      <c r="C265" s="3" t="str">
        <v>H:Hull</v>
      </c>
      <c r="D265" s="3">
        <f>D264+1</f>
        <v>438</v>
      </c>
      <c r="E265" s="3" t="str">
        <f>CONCAT("Q","/",LEFT(Table2[[#This Row],[Quotation Type]],1),"/", LEFT(Table2[[#This Row],[Branch]],1),"/", RIGHT(YEAR(TODAY()),2), "/",Table2[[#This Row],[Seq. Number]])</f>
        <v>Q/R/H/26/438</v>
      </c>
      <c r="F265" s="3" t="str">
        <v>Mas Shipping</v>
      </c>
      <c r="G265" s="3" t="str">
        <v>Yosor</v>
      </c>
      <c r="H265" s="3">
        <v>7819113</v>
      </c>
      <c r="I265" s="3" t="str">
        <v>MLV</v>
      </c>
      <c r="J265" s="3" t="str">
        <v>Direct</v>
      </c>
    </row>
    <row r="266">
      <c r="A266" s="3">
        <v>45201</v>
      </c>
      <c r="B266" s="3" t="str">
        <v>R:Renewal</v>
      </c>
      <c r="C266" s="3" t="str">
        <v>P:P&amp;I</v>
      </c>
      <c r="D266" s="3">
        <f>D265+1</f>
        <v>439</v>
      </c>
      <c r="E266" s="3" t="str">
        <f>CONCAT("Q","/",LEFT(Table2[[#This Row],[Quotation Type]],1),"/", LEFT(Table2[[#This Row],[Branch]],1),"/", RIGHT(YEAR(TODAY()),2), "/",Table2[[#This Row],[Seq. Number]])</f>
        <v>Q/R/P/26/439</v>
      </c>
      <c r="F266" s="3" t="str">
        <v>Mas Shipping</v>
      </c>
      <c r="G266" s="3" t="str">
        <v>Yosor</v>
      </c>
      <c r="H266" s="3">
        <v>7819113</v>
      </c>
      <c r="I266" s="3" t="str">
        <v>MLV</v>
      </c>
      <c r="J266" s="3" t="str">
        <v>Direct</v>
      </c>
    </row>
    <row r="267">
      <c r="A267" s="3">
        <v>45201</v>
      </c>
      <c r="B267" s="3" t="str">
        <v>R:Renewal</v>
      </c>
      <c r="C267" s="3" t="str">
        <v>W:War</v>
      </c>
      <c r="D267" s="3">
        <f>D266+1</f>
        <v>440</v>
      </c>
      <c r="E267" s="3" t="str">
        <f>CONCAT("Q","/",LEFT(Table2[[#This Row],[Quotation Type]],1),"/", LEFT(Table2[[#This Row],[Branch]],1),"/", RIGHT(YEAR(TODAY()),2), "/",Table2[[#This Row],[Seq. Number]])</f>
        <v>Q/R/W/26/440</v>
      </c>
      <c r="F267" s="3" t="str">
        <v>Elbeco</v>
      </c>
      <c r="G267" s="3" t="str">
        <v>Queensland</v>
      </c>
      <c r="I267" s="3" t="str">
        <v>MLV</v>
      </c>
      <c r="J267" s="3" t="str">
        <v>Direct</v>
      </c>
    </row>
    <row r="268">
      <c r="A268" s="3">
        <v>45201</v>
      </c>
      <c r="B268" s="3" t="str">
        <v>R:Renewal</v>
      </c>
      <c r="C268" s="3" t="str">
        <v>H:Hull</v>
      </c>
      <c r="D268" s="3">
        <f>D267+1</f>
        <v>441</v>
      </c>
      <c r="E268" s="3" t="str">
        <f>CONCAT("Q","/",LEFT(Table2[[#This Row],[Quotation Type]],1),"/", LEFT(Table2[[#This Row],[Branch]],1),"/", RIGHT(YEAR(TODAY()),2), "/",Table2[[#This Row],[Seq. Number]])</f>
        <v>Q/R/H/26/441</v>
      </c>
      <c r="F268" s="3" t="str">
        <v>Ammoun Shipping Co.</v>
      </c>
      <c r="G268" s="3" t="str">
        <v>Bella A</v>
      </c>
      <c r="H268" s="3">
        <v>9182394</v>
      </c>
      <c r="I268" s="3" t="str">
        <v>GC</v>
      </c>
      <c r="J268" s="3" t="str">
        <v>Direct</v>
      </c>
    </row>
    <row r="269">
      <c r="A269" s="3">
        <v>45201</v>
      </c>
      <c r="B269" s="3" t="str">
        <v>R:Renewal</v>
      </c>
      <c r="C269" s="3" t="str">
        <v>P:P&amp;I</v>
      </c>
      <c r="D269" s="3">
        <f>D268+1</f>
        <v>442</v>
      </c>
      <c r="E269" s="3" t="str">
        <f>CONCAT("Q","/",LEFT(Table2[[#This Row],[Quotation Type]],1),"/", LEFT(Table2[[#This Row],[Branch]],1),"/", RIGHT(YEAR(TODAY()),2), "/",Table2[[#This Row],[Seq. Number]])</f>
        <v>Q/R/P/26/442</v>
      </c>
      <c r="F269" s="3" t="str">
        <v>Ammoun Shipping Co.</v>
      </c>
      <c r="G269" s="3" t="str">
        <v>Bella A</v>
      </c>
      <c r="H269" s="3">
        <v>9182394</v>
      </c>
      <c r="I269" s="3" t="str">
        <v>GC</v>
      </c>
      <c r="J269" s="3" t="str">
        <v>Direct</v>
      </c>
    </row>
    <row r="270">
      <c r="A270" s="3">
        <v>45201</v>
      </c>
      <c r="B270" s="3" t="str">
        <v>R:Renewal</v>
      </c>
      <c r="C270" s="3" t="str">
        <v>P:P&amp;I</v>
      </c>
      <c r="D270" s="3">
        <f>D269+1</f>
        <v>443</v>
      </c>
      <c r="E270" s="3" t="str">
        <f>CONCAT("Q","/",LEFT(Table2[[#This Row],[Quotation Type]],1),"/", LEFT(Table2[[#This Row],[Branch]],1),"/", RIGHT(YEAR(TODAY()),2), "/",Table2[[#This Row],[Seq. Number]])</f>
        <v>Q/R/P/26/443</v>
      </c>
      <c r="F270" s="3" t="str">
        <v>Ceni Yachting Co. Ltd</v>
      </c>
      <c r="G270" s="3" t="str">
        <v>Ceni</v>
      </c>
      <c r="I270" s="3" t="str">
        <v>Yacht</v>
      </c>
      <c r="J270" s="3" t="str">
        <v>Mesco</v>
      </c>
    </row>
    <row r="271">
      <c r="A271" s="3">
        <v>45201</v>
      </c>
      <c r="B271" s="3" t="str">
        <v>R:Renewal</v>
      </c>
      <c r="C271" s="3" t="str">
        <v>Y:Yacht</v>
      </c>
      <c r="D271" s="3">
        <f>D270+1</f>
        <v>444</v>
      </c>
      <c r="E271" s="3" t="str">
        <f>CONCAT("Q","/",LEFT(Table2[[#This Row],[Quotation Type]],1),"/", LEFT(Table2[[#This Row],[Branch]],1),"/", RIGHT(YEAR(TODAY()),2), "/",Table2[[#This Row],[Seq. Number]])</f>
        <v>Q/R/Y/26/444</v>
      </c>
      <c r="F271" s="3" t="str">
        <v>Ceni Yachting Co. Ltd</v>
      </c>
      <c r="G271" s="3" t="str">
        <v>Ceni</v>
      </c>
      <c r="I271" s="3" t="str">
        <v>Yacht</v>
      </c>
      <c r="J271" s="3" t="str">
        <v>Mesco</v>
      </c>
    </row>
    <row r="272">
      <c r="A272" s="3">
        <v>45201</v>
      </c>
      <c r="B272" s="3" t="str">
        <v>N:New Quotation</v>
      </c>
      <c r="C272" s="3" t="str">
        <v>P:P&amp;I</v>
      </c>
      <c r="D272" s="3">
        <f>D271+1</f>
        <v>445</v>
      </c>
      <c r="E272" s="3" t="str">
        <f>CONCAT("Q","/",LEFT(Table2[[#This Row],[Quotation Type]],1),"/", LEFT(Table2[[#This Row],[Branch]],1),"/", RIGHT(YEAR(TODAY()),2), "/",Table2[[#This Row],[Seq. Number]])</f>
        <v>Q/N/P/26/445</v>
      </c>
      <c r="F272" s="3" t="str">
        <v>Magnom Logistic</v>
      </c>
      <c r="G272" s="3" t="str">
        <v>Osman 23</v>
      </c>
      <c r="I272" s="3" t="str">
        <v>Barge</v>
      </c>
      <c r="J272" s="3" t="str">
        <v>Mesco</v>
      </c>
    </row>
    <row r="273">
      <c r="A273" s="3">
        <v>45202</v>
      </c>
      <c r="B273" s="3" t="str">
        <v>N:New Quotation</v>
      </c>
      <c r="C273" s="3" t="str">
        <v>H:Hull</v>
      </c>
      <c r="D273" s="3">
        <f>D272+1</f>
        <v>446</v>
      </c>
      <c r="E273" s="3" t="str">
        <f>CONCAT("Q","/",LEFT(Table2[[#This Row],[Quotation Type]],1),"/", LEFT(Table2[[#This Row],[Branch]],1),"/", RIGHT(YEAR(TODAY()),2), "/",Table2[[#This Row],[Seq. Number]])</f>
        <v>Q/N/H/26/446</v>
      </c>
      <c r="F273" s="3" t="str">
        <v>Navmarine Denizcilik</v>
      </c>
      <c r="G273" s="3" t="str">
        <v>Baoshan Hope</v>
      </c>
      <c r="H273" s="3">
        <v>9254109</v>
      </c>
      <c r="I273" s="3" t="str">
        <v>GC</v>
      </c>
      <c r="J273" s="3" t="str">
        <v>City</v>
      </c>
    </row>
    <row r="274">
      <c r="A274" s="3">
        <v>45204</v>
      </c>
      <c r="B274" s="3" t="str">
        <v>A:Addition</v>
      </c>
      <c r="C274" s="3" t="str">
        <v>H:Hull</v>
      </c>
      <c r="D274" s="3">
        <f>D273+1</f>
        <v>447</v>
      </c>
      <c r="E274" s="3" t="str">
        <f>CONCAT("Q","/",LEFT(Table2[[#This Row],[Quotation Type]],1),"/", LEFT(Table2[[#This Row],[Branch]],1),"/", RIGHT(YEAR(TODAY()),2), "/",Table2[[#This Row],[Seq. Number]])</f>
        <v>Q/A/H/26/447</v>
      </c>
      <c r="F274" s="3" t="str">
        <v>Excel International</v>
      </c>
      <c r="G274" s="3" t="str">
        <v>Iconic 09</v>
      </c>
      <c r="I274" s="3" t="str">
        <v>Tug</v>
      </c>
      <c r="J274" s="3" t="str">
        <v>City</v>
      </c>
    </row>
    <row r="275">
      <c r="A275" s="3">
        <v>45204</v>
      </c>
      <c r="B275" s="3" t="str">
        <v>N:New Quotation</v>
      </c>
      <c r="C275" s="3" t="str">
        <v>H:Hull</v>
      </c>
      <c r="D275" s="3">
        <f>D274+1</f>
        <v>448</v>
      </c>
      <c r="E275" s="3" t="str">
        <f>CONCAT("Q","/",LEFT(Table2[[#This Row],[Quotation Type]],1),"/", LEFT(Table2[[#This Row],[Branch]],1),"/", RIGHT(YEAR(TODAY()),2), "/",Table2[[#This Row],[Seq. Number]])</f>
        <v>Q/N/H/26/448</v>
      </c>
      <c r="F275" s="3" t="str">
        <v>Petrogulf Oil Manufacturing LLC</v>
      </c>
      <c r="G275" s="3" t="str">
        <v>Maruti</v>
      </c>
      <c r="I275" s="3" t="str">
        <v>O/T</v>
      </c>
      <c r="J275" s="3" t="str">
        <v>City</v>
      </c>
    </row>
    <row r="276">
      <c r="A276" s="3">
        <v>45208</v>
      </c>
      <c r="B276" s="3" t="str">
        <v>N:New Quotation</v>
      </c>
      <c r="C276" s="3" t="str">
        <v>W:War</v>
      </c>
      <c r="D276" s="3">
        <f>D275+1</f>
        <v>449</v>
      </c>
      <c r="E276" s="3" t="str">
        <f>CONCAT("Q","/",LEFT(Table2[[#This Row],[Quotation Type]],1),"/", LEFT(Table2[[#This Row],[Branch]],1),"/", RIGHT(YEAR(TODAY()),2), "/",Table2[[#This Row],[Seq. Number]])</f>
        <v>Q/N/W/26/449</v>
      </c>
      <c r="F276" s="3" t="str">
        <v>KM Ship Management</v>
      </c>
      <c r="I276" s="3" t="str">
        <v>Container</v>
      </c>
      <c r="J276" s="3" t="str">
        <v>Kominsur</v>
      </c>
    </row>
    <row r="277">
      <c r="A277" s="3">
        <v>45208</v>
      </c>
      <c r="B277" s="3" t="str">
        <v>N:New Quotation</v>
      </c>
      <c r="C277" s="3" t="str">
        <v>H:Hull</v>
      </c>
      <c r="D277" s="3">
        <f>D276+1</f>
        <v>450</v>
      </c>
      <c r="E277" s="3" t="str">
        <f>CONCAT("Q","/",LEFT(Table2[[#This Row],[Quotation Type]],1),"/", LEFT(Table2[[#This Row],[Branch]],1),"/", RIGHT(YEAR(TODAY()),2), "/",Table2[[#This Row],[Seq. Number]])</f>
        <v>Q/N/H/26/450</v>
      </c>
      <c r="F277" s="3" t="str">
        <v>Vardaan Shipping</v>
      </c>
      <c r="G277" s="3" t="str">
        <v>Surya</v>
      </c>
      <c r="H277" s="3">
        <v>1025368</v>
      </c>
      <c r="I277" s="3" t="str">
        <v>O/T</v>
      </c>
      <c r="J277" s="3" t="str">
        <v>IPIC</v>
      </c>
    </row>
    <row r="278">
      <c r="A278" s="3">
        <v>45208</v>
      </c>
      <c r="B278" s="3" t="str">
        <v>R:Renewal</v>
      </c>
      <c r="C278" s="3" t="str">
        <v>H:Hull</v>
      </c>
      <c r="D278" s="3">
        <f>D277+1</f>
        <v>451</v>
      </c>
      <c r="E278" s="3" t="str">
        <f>CONCAT("Q","/",LEFT(Table2[[#This Row],[Quotation Type]],1),"/", LEFT(Table2[[#This Row],[Branch]],1),"/", RIGHT(YEAR(TODAY()),2), "/",Table2[[#This Row],[Seq. Number]])</f>
        <v>Q/R/H/26/451</v>
      </c>
      <c r="F278" s="3" t="str">
        <v>Elreedy Shipping</v>
      </c>
      <c r="J278" s="3" t="str">
        <v>Sarnia</v>
      </c>
    </row>
    <row r="279">
      <c r="A279" s="3">
        <v>45208</v>
      </c>
      <c r="B279" s="3" t="str">
        <v>R:Renewal</v>
      </c>
      <c r="C279" s="3" t="str">
        <v>W:War</v>
      </c>
      <c r="D279" s="3">
        <f>D278+1</f>
        <v>452</v>
      </c>
      <c r="E279" s="3" t="str">
        <f>CONCAT("Q","/",LEFT(Table2[[#This Row],[Quotation Type]],1),"/", LEFT(Table2[[#This Row],[Branch]],1),"/", RIGHT(YEAR(TODAY()),2), "/",Table2[[#This Row],[Seq. Number]])</f>
        <v>Q/R/W/26/452</v>
      </c>
      <c r="F279" s="3" t="str">
        <v>Elreedy Shipping</v>
      </c>
      <c r="J279" s="3" t="str">
        <v>Sarnia</v>
      </c>
    </row>
    <row r="280">
      <c r="A280" s="3">
        <v>45210</v>
      </c>
      <c r="B280" s="3" t="str">
        <v>N:New Quotation</v>
      </c>
      <c r="C280" s="3" t="str">
        <v>P:P&amp;I</v>
      </c>
      <c r="D280" s="3">
        <f>D279+1</f>
        <v>453</v>
      </c>
      <c r="E280" s="3" t="str">
        <f>CONCAT("Q","/",LEFT(Table2[[#This Row],[Quotation Type]],1),"/", LEFT(Table2[[#This Row],[Branch]],1),"/", RIGHT(YEAR(TODAY()),2), "/",Table2[[#This Row],[Seq. Number]])</f>
        <v>Q/N/P/26/453</v>
      </c>
      <c r="F280" s="3" t="str">
        <v>Friends Marine</v>
      </c>
      <c r="J280" s="3" t="str">
        <v>Fouad Al Mahmoud</v>
      </c>
    </row>
    <row r="281">
      <c r="A281" s="3">
        <v>45210</v>
      </c>
      <c r="B281" s="3" t="str">
        <v>R:Renewal</v>
      </c>
      <c r="C281" s="3" t="str">
        <v>H:Hull</v>
      </c>
      <c r="D281" s="3">
        <f>D280+1</f>
        <v>454</v>
      </c>
      <c r="E281" s="3" t="str">
        <f>CONCAT("Q","/",LEFT(Table2[[#This Row],[Quotation Type]],1),"/", LEFT(Table2[[#This Row],[Branch]],1),"/", RIGHT(YEAR(TODAY()),2), "/",Table2[[#This Row],[Seq. Number]])</f>
        <v>Q/R/H/26/454</v>
      </c>
      <c r="F281" s="3" t="str">
        <v>Al Mahmoud</v>
      </c>
      <c r="G281" s="3" t="str">
        <v>Polaris 2</v>
      </c>
      <c r="I281" s="3" t="str">
        <v>MLV</v>
      </c>
      <c r="J281" s="3" t="str">
        <v>Direct</v>
      </c>
    </row>
    <row r="282">
      <c r="A282" s="3">
        <v>45210</v>
      </c>
      <c r="B282" s="3" t="str">
        <v>R:Renewal</v>
      </c>
      <c r="C282" s="3" t="str">
        <v>P:P&amp;I</v>
      </c>
      <c r="D282" s="3">
        <f>D281+1</f>
        <v>455</v>
      </c>
      <c r="E282" s="3" t="str">
        <f>CONCAT("Q","/",LEFT(Table2[[#This Row],[Quotation Type]],1),"/", LEFT(Table2[[#This Row],[Branch]],1),"/", RIGHT(YEAR(TODAY()),2), "/",Table2[[#This Row],[Seq. Number]])</f>
        <v>Q/R/P/26/455</v>
      </c>
      <c r="F282" s="3" t="str">
        <v>Al Mahmoud</v>
      </c>
      <c r="G282" s="3" t="str">
        <v>Polaris 2</v>
      </c>
      <c r="I282" s="3" t="str">
        <v>MLV</v>
      </c>
      <c r="J282" s="3" t="str">
        <v>Direct</v>
      </c>
    </row>
    <row r="283">
      <c r="A283" s="3">
        <v>45211</v>
      </c>
      <c r="B283" s="3" t="str">
        <v>A:Addition</v>
      </c>
      <c r="C283" s="3" t="str">
        <v>W:War</v>
      </c>
      <c r="D283" s="3">
        <f>D282+1</f>
        <v>456</v>
      </c>
      <c r="E283" s="3" t="str">
        <f>CONCAT("Q","/",LEFT(Table2[[#This Row],[Quotation Type]],1),"/", LEFT(Table2[[#This Row],[Branch]],1),"/", RIGHT(YEAR(TODAY()),2), "/",Table2[[#This Row],[Seq. Number]])</f>
        <v>Q/A/W/26/456</v>
      </c>
      <c r="F283" s="3" t="str">
        <v>Adriatic for Management</v>
      </c>
      <c r="G283" s="3" t="str">
        <v>Al Awad 1</v>
      </c>
      <c r="I283" s="3" t="str">
        <v>MLV</v>
      </c>
      <c r="J283" s="3" t="str">
        <v>Sarnia</v>
      </c>
    </row>
    <row r="284">
      <c r="A284" s="3">
        <v>45213</v>
      </c>
      <c r="B284" s="3" t="str">
        <v>A:Addition</v>
      </c>
      <c r="C284" s="3" t="str">
        <v>H:Hull</v>
      </c>
      <c r="D284" s="3">
        <f>D283+1</f>
        <v>457</v>
      </c>
      <c r="E284" s="3" t="str">
        <f>CONCAT("Q","/",LEFT(Table2[[#This Row],[Quotation Type]],1),"/", LEFT(Table2[[#This Row],[Branch]],1),"/", RIGHT(YEAR(TODAY()),2), "/",Table2[[#This Row],[Seq. Number]])</f>
        <v>Q/A/H/26/457</v>
      </c>
      <c r="F284" s="3" t="str">
        <v>Morgan Navigation</v>
      </c>
      <c r="G284" s="3" t="str">
        <v>Mayar</v>
      </c>
      <c r="I284" s="3" t="str">
        <v>MLV</v>
      </c>
      <c r="J284" s="3" t="str">
        <v>Alfamarine</v>
      </c>
    </row>
    <row r="285">
      <c r="A285" s="3">
        <v>45213</v>
      </c>
      <c r="B285" s="3" t="str">
        <v>A:Addition</v>
      </c>
      <c r="C285" s="3" t="str">
        <v>P:P&amp;I</v>
      </c>
      <c r="D285" s="3">
        <f>D284+1</f>
        <v>458</v>
      </c>
      <c r="E285" s="3" t="str">
        <f>CONCAT("Q","/",LEFT(Table2[[#This Row],[Quotation Type]],1),"/", LEFT(Table2[[#This Row],[Branch]],1),"/", RIGHT(YEAR(TODAY()),2), "/",Table2[[#This Row],[Seq. Number]])</f>
        <v>Q/A/P/26/458</v>
      </c>
      <c r="F285" s="3" t="str">
        <v>Morgan Navigation</v>
      </c>
      <c r="G285" s="3" t="str">
        <v>Mayar</v>
      </c>
      <c r="I285" s="3" t="str">
        <v>MLV</v>
      </c>
      <c r="J285" s="3" t="str">
        <v>Alfamarine</v>
      </c>
    </row>
    <row r="286">
      <c r="A286" s="3">
        <v>45215</v>
      </c>
      <c r="B286" s="3" t="str">
        <v>R:Renewal</v>
      </c>
      <c r="C286" s="3" t="str">
        <v>H:Hull</v>
      </c>
      <c r="D286" s="3">
        <f>D285+1</f>
        <v>459</v>
      </c>
      <c r="E286" s="3" t="str">
        <f>CONCAT("Q","/",LEFT(Table2[[#This Row],[Quotation Type]],1),"/", LEFT(Table2[[#This Row],[Branch]],1),"/", RIGHT(YEAR(TODAY()),2), "/",Table2[[#This Row],[Seq. Number]])</f>
        <v>Q/R/H/26/459</v>
      </c>
      <c r="F286" s="3" t="str">
        <v>Osman Denizclik</v>
      </c>
      <c r="I286" s="3" t="str">
        <v>GC</v>
      </c>
      <c r="J286" s="3" t="str">
        <v>Sarnia</v>
      </c>
    </row>
    <row r="287">
      <c r="A287" s="3">
        <v>45215</v>
      </c>
      <c r="B287" s="3" t="str">
        <v>R:Renewal</v>
      </c>
      <c r="C287" s="3" t="str">
        <v>W:War</v>
      </c>
      <c r="D287" s="3">
        <f>D286+1</f>
        <v>460</v>
      </c>
      <c r="E287" s="3" t="str">
        <f>CONCAT("Q","/",LEFT(Table2[[#This Row],[Quotation Type]],1),"/", LEFT(Table2[[#This Row],[Branch]],1),"/", RIGHT(YEAR(TODAY()),2), "/",Table2[[#This Row],[Seq. Number]])</f>
        <v>Q/R/W/26/460</v>
      </c>
      <c r="F287" s="3" t="str">
        <v>Osman Denizclik</v>
      </c>
      <c r="I287" s="3" t="str">
        <v>GC</v>
      </c>
      <c r="J287" s="3" t="str">
        <v>Sarnia</v>
      </c>
    </row>
    <row r="288">
      <c r="A288" s="3">
        <v>45215</v>
      </c>
      <c r="B288" s="3" t="str">
        <v>R:Renewal</v>
      </c>
      <c r="C288" s="3" t="str">
        <v>H:Hull</v>
      </c>
      <c r="D288" s="3">
        <f>D287+1</f>
        <v>461</v>
      </c>
      <c r="E288" s="3" t="str">
        <f>CONCAT("Q","/",LEFT(Table2[[#This Row],[Quotation Type]],1),"/", LEFT(Table2[[#This Row],[Branch]],1),"/", RIGHT(YEAR(TODAY()),2), "/",Table2[[#This Row],[Seq. Number]])</f>
        <v>Q/R/H/26/461</v>
      </c>
      <c r="F288" s="3" t="str">
        <v>Al Mahmoud</v>
      </c>
      <c r="G288" s="3" t="str">
        <v>Mawashi Express</v>
      </c>
      <c r="I288" s="3" t="str">
        <v>MLV</v>
      </c>
      <c r="J288" s="3" t="str">
        <v>Direct</v>
      </c>
    </row>
    <row r="289">
      <c r="A289" s="3">
        <v>45215</v>
      </c>
      <c r="B289" s="3" t="str">
        <v>R:Renewal</v>
      </c>
      <c r="C289" s="3" t="str">
        <v>P:P&amp;I</v>
      </c>
      <c r="D289" s="3">
        <f>D288+1</f>
        <v>462</v>
      </c>
      <c r="E289" s="3" t="str">
        <f>CONCAT("Q","/",LEFT(Table2[[#This Row],[Quotation Type]],1),"/", LEFT(Table2[[#This Row],[Branch]],1),"/", RIGHT(YEAR(TODAY()),2), "/",Table2[[#This Row],[Seq. Number]])</f>
        <v>Q/R/P/26/462</v>
      </c>
      <c r="F289" s="3" t="str">
        <v>Al Mahmoud</v>
      </c>
      <c r="G289" s="3" t="str">
        <v>Mawashi Express</v>
      </c>
      <c r="I289" s="3" t="str">
        <v>MLV</v>
      </c>
      <c r="J289" s="3" t="str">
        <v>Direct</v>
      </c>
    </row>
    <row r="290">
      <c r="A290" s="3">
        <v>45216</v>
      </c>
      <c r="B290" s="3" t="str">
        <v>R:Renewal</v>
      </c>
      <c r="C290" s="3" t="str">
        <v>H:Hull</v>
      </c>
      <c r="D290" s="3">
        <f>D289+1</f>
        <v>463</v>
      </c>
      <c r="E290" s="3" t="str">
        <f>CONCAT("Q","/",LEFT(Table2[[#This Row],[Quotation Type]],1),"/", LEFT(Table2[[#This Row],[Branch]],1),"/", RIGHT(YEAR(TODAY()),2), "/",Table2[[#This Row],[Seq. Number]])</f>
        <v>Q/R/H/26/463</v>
      </c>
      <c r="G290" s="3" t="str">
        <v>SFE Pioneer</v>
      </c>
      <c r="J290" s="3" t="str">
        <v>Fairwater</v>
      </c>
    </row>
    <row r="291">
      <c r="A291" s="3">
        <v>45216</v>
      </c>
      <c r="B291" s="3" t="str">
        <v>N:New Quotation</v>
      </c>
      <c r="C291" s="3" t="str">
        <v>H:Hull</v>
      </c>
      <c r="D291" s="3">
        <f>D290+1</f>
        <v>464</v>
      </c>
      <c r="E291" s="3" t="str">
        <f>CONCAT("Q","/",LEFT(Table2[[#This Row],[Quotation Type]],1),"/", LEFT(Table2[[#This Row],[Branch]],1),"/", RIGHT(YEAR(TODAY()),2), "/",Table2[[#This Row],[Seq. Number]])</f>
        <v>Q/N/H/26/464</v>
      </c>
      <c r="F291" s="3" t="str">
        <v>Tehama</v>
      </c>
      <c r="J291" s="3" t="str">
        <v>Mesco</v>
      </c>
    </row>
    <row r="292">
      <c r="A292" s="3">
        <v>45216</v>
      </c>
      <c r="B292" s="3" t="str">
        <v>R:Renewal</v>
      </c>
      <c r="C292" s="3" t="str">
        <v>P:P&amp;I</v>
      </c>
      <c r="D292" s="3">
        <f>D291+1</f>
        <v>465</v>
      </c>
      <c r="E292" s="3" t="str">
        <f>CONCAT("Q","/",LEFT(Table2[[#This Row],[Quotation Type]],1),"/", LEFT(Table2[[#This Row],[Branch]],1),"/", RIGHT(YEAR(TODAY()),2), "/",Table2[[#This Row],[Seq. Number]])</f>
        <v>Q/R/P/26/465</v>
      </c>
      <c r="F292" s="3" t="str">
        <v>Dragon Livestock</v>
      </c>
      <c r="G292" s="3" t="str">
        <v>Dragon</v>
      </c>
      <c r="I292" s="3" t="str">
        <v>MLV</v>
      </c>
      <c r="J292" s="3" t="str">
        <v>Direct</v>
      </c>
    </row>
    <row r="293">
      <c r="A293" s="3">
        <v>45217</v>
      </c>
      <c r="B293" s="3" t="str">
        <v>R:Renewal</v>
      </c>
      <c r="C293" s="3" t="str">
        <v>W:War</v>
      </c>
      <c r="D293" s="3">
        <f>D292+1</f>
        <v>466</v>
      </c>
      <c r="E293" s="3" t="str">
        <f>CONCAT("Q","/",LEFT(Table2[[#This Row],[Quotation Type]],1),"/", LEFT(Table2[[#This Row],[Branch]],1),"/", RIGHT(YEAR(TODAY()),2), "/",Table2[[#This Row],[Seq. Number]])</f>
        <v>Q/R/W/26/466</v>
      </c>
      <c r="F293" s="3" t="str">
        <v>Dragon Livestock</v>
      </c>
      <c r="G293" s="3" t="str">
        <v>Dragon</v>
      </c>
      <c r="I293" s="3" t="str">
        <v>MLV</v>
      </c>
      <c r="J293" s="3" t="str">
        <v>Direct</v>
      </c>
    </row>
    <row r="294">
      <c r="A294" s="3">
        <v>45217</v>
      </c>
      <c r="B294" s="3" t="str">
        <v>R:Renewal</v>
      </c>
      <c r="C294" s="3" t="str">
        <v>H:Hull</v>
      </c>
      <c r="D294" s="3">
        <f>D293+1</f>
        <v>467</v>
      </c>
      <c r="E294" s="3" t="str">
        <f>CONCAT("Q","/",LEFT(Table2[[#This Row],[Quotation Type]],1),"/", LEFT(Table2[[#This Row],[Branch]],1),"/", RIGHT(YEAR(TODAY()),2), "/",Table2[[#This Row],[Seq. Number]])</f>
        <v>Q/R/H/26/467</v>
      </c>
      <c r="F294" s="3" t="str">
        <v>MN Shipping</v>
      </c>
      <c r="G294" s="3" t="str">
        <v>MN Talos</v>
      </c>
      <c r="H294" s="3">
        <v>9182411</v>
      </c>
      <c r="I294" s="3" t="str">
        <v>GC</v>
      </c>
      <c r="J294" s="3" t="str">
        <v>Direct</v>
      </c>
    </row>
    <row r="295">
      <c r="A295" s="3">
        <v>45217</v>
      </c>
      <c r="B295" s="3" t="str">
        <v>R:Renewal</v>
      </c>
      <c r="C295" s="3" t="str">
        <v>W:War</v>
      </c>
      <c r="D295" s="3">
        <f>D294+1</f>
        <v>468</v>
      </c>
      <c r="E295" s="3" t="str">
        <f>CONCAT("Q","/",LEFT(Table2[[#This Row],[Quotation Type]],1),"/", LEFT(Table2[[#This Row],[Branch]],1),"/", RIGHT(YEAR(TODAY()),2), "/",Table2[[#This Row],[Seq. Number]])</f>
        <v>Q/R/W/26/468</v>
      </c>
      <c r="F295" s="3" t="str">
        <v>MN Shipping</v>
      </c>
      <c r="G295" s="3" t="str">
        <v>MN Talos</v>
      </c>
      <c r="H295" s="3">
        <v>9182411</v>
      </c>
      <c r="I295" s="3" t="str">
        <v>GC</v>
      </c>
      <c r="J295" s="3" t="str">
        <v>Direct</v>
      </c>
    </row>
    <row r="296">
      <c r="A296" s="3">
        <v>45217</v>
      </c>
      <c r="B296" s="3" t="str">
        <v>N:New Quotation</v>
      </c>
      <c r="C296" s="3" t="str">
        <v>H:Hull</v>
      </c>
      <c r="D296" s="3">
        <f>D295+1</f>
        <v>469</v>
      </c>
      <c r="E296" s="3" t="str">
        <f>CONCAT("Q","/",LEFT(Table2[[#This Row],[Quotation Type]],1),"/", LEFT(Table2[[#This Row],[Branch]],1),"/", RIGHT(YEAR(TODAY()),2), "/",Table2[[#This Row],[Seq. Number]])</f>
        <v>Q/N/H/26/469</v>
      </c>
      <c r="F296" s="3" t="str">
        <v>JRKO Marine Shipping LLC</v>
      </c>
      <c r="G296" s="3" t="str">
        <v>JR 1</v>
      </c>
      <c r="I296" s="3" t="str">
        <v>Supply Vessel</v>
      </c>
      <c r="J296" s="3" t="str">
        <v>IPIC</v>
      </c>
    </row>
    <row r="297">
      <c r="A297" s="3">
        <v>45217</v>
      </c>
      <c r="B297" s="3" t="str">
        <v>R:Renewal</v>
      </c>
      <c r="C297" s="3" t="str">
        <v>H:Hull</v>
      </c>
      <c r="D297" s="3">
        <f>D296+1</f>
        <v>470</v>
      </c>
      <c r="E297" s="3" t="str">
        <f>CONCAT("Q","/",LEFT(Table2[[#This Row],[Quotation Type]],1),"/", LEFT(Table2[[#This Row],[Branch]],1),"/", RIGHT(YEAR(TODAY()),2), "/",Table2[[#This Row],[Seq. Number]])</f>
        <v>Q/R/H/26/470</v>
      </c>
      <c r="F297" s="3" t="str">
        <v>Oceandro</v>
      </c>
      <c r="G297" s="3" t="str">
        <v>Oceandro 4</v>
      </c>
      <c r="H297" s="3" t="str">
        <v>-</v>
      </c>
      <c r="I297" s="3" t="str">
        <v>Tug</v>
      </c>
      <c r="J297" s="3" t="str">
        <v>Rafic Rashad</v>
      </c>
    </row>
    <row r="298">
      <c r="A298" s="3">
        <v>45217</v>
      </c>
      <c r="B298" s="3" t="str">
        <v>R:Renewal</v>
      </c>
      <c r="C298" s="3" t="str">
        <v>W:War</v>
      </c>
      <c r="D298" s="3">
        <f>D297+1</f>
        <v>471</v>
      </c>
      <c r="E298" s="3" t="str">
        <f>CONCAT("Q","/",LEFT(Table2[[#This Row],[Quotation Type]],1),"/", LEFT(Table2[[#This Row],[Branch]],1),"/", RIGHT(YEAR(TODAY()),2), "/",Table2[[#This Row],[Seq. Number]])</f>
        <v>Q/R/W/26/471</v>
      </c>
      <c r="F298" s="3" t="str">
        <v>Oceandro</v>
      </c>
      <c r="G298" s="3" t="str">
        <v>Oceandro 4</v>
      </c>
      <c r="H298" s="3" t="str">
        <v>-</v>
      </c>
      <c r="I298" s="3" t="str">
        <v>Tug</v>
      </c>
      <c r="J298" s="3" t="str">
        <v>Rafic Rashad</v>
      </c>
    </row>
    <row r="299">
      <c r="A299" s="3">
        <v>45217</v>
      </c>
      <c r="B299" s="3" t="str">
        <v>R:Renewal</v>
      </c>
      <c r="C299" s="3" t="str">
        <v>P:P&amp;I</v>
      </c>
      <c r="D299" s="3">
        <f>D298+1</f>
        <v>472</v>
      </c>
      <c r="E299" s="3" t="str">
        <f>CONCAT("Q","/",LEFT(Table2[[#This Row],[Quotation Type]],1),"/", LEFT(Table2[[#This Row],[Branch]],1),"/", RIGHT(YEAR(TODAY()),2), "/",Table2[[#This Row],[Seq. Number]])</f>
        <v>Q/R/P/26/472</v>
      </c>
      <c r="F299" s="3" t="str">
        <v>Oceandro</v>
      </c>
      <c r="G299" s="3" t="str">
        <v>Oceandro 4</v>
      </c>
      <c r="H299" s="3" t="str">
        <v>-</v>
      </c>
      <c r="I299" s="3" t="str">
        <v>Tug</v>
      </c>
      <c r="J299" s="3" t="str">
        <v>Rafic Rashad</v>
      </c>
    </row>
    <row r="300">
      <c r="A300" s="3">
        <v>45217</v>
      </c>
      <c r="B300" s="3" t="str">
        <v>R:Renewal</v>
      </c>
      <c r="C300" s="3" t="str">
        <v>H:Hull</v>
      </c>
      <c r="D300" s="3">
        <f>D299+1</f>
        <v>473</v>
      </c>
      <c r="E300" s="3" t="str">
        <f>CONCAT("Q","/",LEFT(Table2[[#This Row],[Quotation Type]],1),"/", LEFT(Table2[[#This Row],[Branch]],1),"/", RIGHT(YEAR(TODAY()),2), "/",Table2[[#This Row],[Seq. Number]])</f>
        <v>Q/R/H/26/473</v>
      </c>
      <c r="F300" s="3" t="str">
        <v>Orient Marine</v>
      </c>
      <c r="G300" s="3" t="str">
        <v>Rio</v>
      </c>
      <c r="H300" s="3">
        <v>9039975</v>
      </c>
      <c r="I300" s="3" t="str">
        <v>GC</v>
      </c>
      <c r="J300" s="3" t="str">
        <v>Direct</v>
      </c>
    </row>
    <row r="301">
      <c r="A301" s="3">
        <v>45217</v>
      </c>
      <c r="B301" s="3" t="str">
        <v>R:Renewal</v>
      </c>
      <c r="C301" s="3" t="str">
        <v>W:War</v>
      </c>
      <c r="D301" s="3">
        <f>D300+1</f>
        <v>474</v>
      </c>
      <c r="E301" s="3" t="str">
        <f>CONCAT("Q","/",LEFT(Table2[[#This Row],[Quotation Type]],1),"/", LEFT(Table2[[#This Row],[Branch]],1),"/", RIGHT(YEAR(TODAY()),2), "/",Table2[[#This Row],[Seq. Number]])</f>
        <v>Q/R/W/26/474</v>
      </c>
      <c r="F301" s="3" t="str">
        <v>Orient Marine</v>
      </c>
      <c r="G301" s="3" t="str">
        <v>Rio</v>
      </c>
      <c r="H301" s="3">
        <v>9039975</v>
      </c>
      <c r="I301" s="3" t="str">
        <v>GC</v>
      </c>
      <c r="J301" s="3" t="str">
        <v>Direct</v>
      </c>
    </row>
    <row r="302">
      <c r="A302" s="3">
        <v>45218</v>
      </c>
      <c r="B302" s="3" t="str">
        <v>N:New Quotation</v>
      </c>
      <c r="C302" s="3" t="str">
        <v>H:Hull</v>
      </c>
      <c r="D302" s="3">
        <f>D301+1</f>
        <v>475</v>
      </c>
      <c r="E302" s="3" t="str">
        <f>CONCAT("Q","/",LEFT(Table2[[#This Row],[Quotation Type]],1),"/", LEFT(Table2[[#This Row],[Branch]],1),"/", RIGHT(YEAR(TODAY()),2), "/",Table2[[#This Row],[Seq. Number]])</f>
        <v>Q/N/H/26/475</v>
      </c>
      <c r="F302" s="3" t="str">
        <v>Al Falaq Marine Shipping</v>
      </c>
      <c r="G302" s="3" t="str">
        <v>Ocean-A</v>
      </c>
      <c r="I302" s="3" t="str">
        <v>Tug</v>
      </c>
      <c r="J302" s="3" t="str">
        <v>IPIC</v>
      </c>
    </row>
    <row r="303">
      <c r="A303" s="3">
        <v>45219</v>
      </c>
      <c r="B303" s="3" t="str">
        <v>R:Renewal</v>
      </c>
      <c r="C303" s="3" t="str">
        <v>H:Hull</v>
      </c>
      <c r="D303" s="3">
        <f>D302+1</f>
        <v>476</v>
      </c>
      <c r="E303" s="3" t="str">
        <f>CONCAT("Q","/",LEFT(Table2[[#This Row],[Quotation Type]],1),"/", LEFT(Table2[[#This Row],[Branch]],1),"/", RIGHT(YEAR(TODAY()),2), "/",Table2[[#This Row],[Seq. Number]])</f>
        <v>Q/R/H/26/476</v>
      </c>
      <c r="F303" s="3" t="str">
        <v>Suvari Shipping</v>
      </c>
      <c r="J303" s="3" t="str">
        <v>Sarnia</v>
      </c>
    </row>
    <row r="304">
      <c r="A304" s="3">
        <v>45219</v>
      </c>
      <c r="B304" s="3" t="str">
        <v>R:Renewal</v>
      </c>
      <c r="C304" s="3" t="str">
        <v>W:War</v>
      </c>
      <c r="D304" s="3">
        <f>D303+1</f>
        <v>477</v>
      </c>
      <c r="E304" s="3" t="str">
        <f>CONCAT("Q","/",LEFT(Table2[[#This Row],[Quotation Type]],1),"/", LEFT(Table2[[#This Row],[Branch]],1),"/", RIGHT(YEAR(TODAY()),2), "/",Table2[[#This Row],[Seq. Number]])</f>
        <v>Q/R/W/26/477</v>
      </c>
      <c r="F304" s="3" t="str">
        <v>Suvari Shipping</v>
      </c>
      <c r="J304" s="3" t="str">
        <v>Sarnia</v>
      </c>
    </row>
    <row r="305">
      <c r="A305" s="3">
        <v>45219</v>
      </c>
      <c r="B305" s="3" t="str">
        <v>N:New Quotation</v>
      </c>
      <c r="C305" s="3" t="str">
        <v>H:Hull</v>
      </c>
      <c r="D305" s="3">
        <f>D304+1</f>
        <v>478</v>
      </c>
      <c r="E305" s="3" t="str">
        <f>CONCAT("Q","/",LEFT(Table2[[#This Row],[Quotation Type]],1),"/", LEFT(Table2[[#This Row],[Branch]],1),"/", RIGHT(YEAR(TODAY()),2), "/",Table2[[#This Row],[Seq. Number]])</f>
        <v>Q/N/H/26/478</v>
      </c>
      <c r="G305" s="3" t="str">
        <v>Avitak 1</v>
      </c>
      <c r="I305" s="3" t="str">
        <v>Cruise</v>
      </c>
      <c r="J305" s="3" t="str">
        <v>IPIC</v>
      </c>
    </row>
    <row r="306">
      <c r="A306" s="3">
        <v>45219</v>
      </c>
      <c r="B306" s="3" t="str">
        <v>R:Renewal</v>
      </c>
      <c r="C306" s="3" t="str">
        <v>H:Hull</v>
      </c>
      <c r="D306" s="3">
        <f>D305+1</f>
        <v>479</v>
      </c>
      <c r="E306" s="3" t="str">
        <f>CONCAT("Q","/",LEFT(Table2[[#This Row],[Quotation Type]],1),"/", LEFT(Table2[[#This Row],[Branch]],1),"/", RIGHT(YEAR(TODAY()),2), "/",Table2[[#This Row],[Seq. Number]])</f>
        <v>Q/R/H/26/479</v>
      </c>
      <c r="F306" s="3" t="str">
        <v>Prelude</v>
      </c>
      <c r="G306" s="3" t="str">
        <v>Punk/Faia G</v>
      </c>
      <c r="I306" s="3" t="str">
        <v>BC</v>
      </c>
      <c r="J306" s="3" t="str">
        <v>Sarnia</v>
      </c>
    </row>
    <row r="307">
      <c r="A307" s="3">
        <v>45221</v>
      </c>
      <c r="B307" s="3" t="str">
        <v>N:New Quotation</v>
      </c>
      <c r="C307" s="3" t="str">
        <v>H:Hull</v>
      </c>
      <c r="D307" s="3">
        <f>D306+1</f>
        <v>480</v>
      </c>
      <c r="E307" s="3" t="str">
        <f>CONCAT("Q","/",LEFT(Table2[[#This Row],[Quotation Type]],1),"/", LEFT(Table2[[#This Row],[Branch]],1),"/", RIGHT(YEAR(TODAY()),2), "/",Table2[[#This Row],[Seq. Number]])</f>
        <v>Q/N/H/26/480</v>
      </c>
      <c r="G307" s="3" t="str">
        <v>Tongmao 16</v>
      </c>
      <c r="I307" s="3" t="str">
        <v>GC</v>
      </c>
      <c r="J307" s="3" t="str">
        <v>Fouad Al Mahmoud</v>
      </c>
    </row>
    <row r="308">
      <c r="A308" s="3">
        <v>45221</v>
      </c>
      <c r="B308" s="3" t="str">
        <v>N:New Quotation</v>
      </c>
      <c r="C308" s="3" t="str">
        <v>P:P&amp;I</v>
      </c>
      <c r="D308" s="3">
        <f>D307+1</f>
        <v>481</v>
      </c>
      <c r="E308" s="3" t="str">
        <f>CONCAT("Q","/",LEFT(Table2[[#This Row],[Quotation Type]],1),"/", LEFT(Table2[[#This Row],[Branch]],1),"/", RIGHT(YEAR(TODAY()),2), "/",Table2[[#This Row],[Seq. Number]])</f>
        <v>Q/N/P/26/481</v>
      </c>
      <c r="G308" s="3" t="str">
        <v>Tongmao 16</v>
      </c>
      <c r="I308" s="3" t="str">
        <v>GC</v>
      </c>
      <c r="J308" s="3" t="str">
        <v>Fouad Al Mahmoud</v>
      </c>
    </row>
    <row r="309">
      <c r="A309" s="3">
        <v>45221</v>
      </c>
      <c r="B309" s="3" t="str">
        <v>N:New Quotation</v>
      </c>
      <c r="C309" s="3" t="str">
        <v>H:Hull</v>
      </c>
      <c r="D309" s="3">
        <f>D308+1</f>
        <v>482</v>
      </c>
      <c r="E309" s="3" t="str">
        <f>CONCAT("Q","/",LEFT(Table2[[#This Row],[Quotation Type]],1),"/", LEFT(Table2[[#This Row],[Branch]],1),"/", RIGHT(YEAR(TODAY()),2), "/",Table2[[#This Row],[Seq. Number]])</f>
        <v>Q/N/H/26/482</v>
      </c>
      <c r="F309" s="3" t="str">
        <v>Ocean Power Trading Ltd</v>
      </c>
      <c r="G309" s="3" t="str">
        <v>Jennifer</v>
      </c>
      <c r="I309" s="3" t="str">
        <v>GC</v>
      </c>
      <c r="J309" s="3" t="str">
        <v>IPIC</v>
      </c>
    </row>
    <row r="310">
      <c r="A310" s="3">
        <v>45225</v>
      </c>
      <c r="B310" s="3" t="str">
        <v>A:Addition</v>
      </c>
      <c r="C310" s="3" t="str">
        <v>H:Hull</v>
      </c>
      <c r="D310" s="3">
        <f>D309+1</f>
        <v>483</v>
      </c>
      <c r="E310" s="3" t="str">
        <f>CONCAT("Q","/",LEFT(Table2[[#This Row],[Quotation Type]],1),"/", LEFT(Table2[[#This Row],[Branch]],1),"/", RIGHT(YEAR(TODAY()),2), "/",Table2[[#This Row],[Seq. Number]])</f>
        <v>Q/A/H/26/483</v>
      </c>
      <c r="F310" s="3" t="str">
        <v>Powerful Marine</v>
      </c>
      <c r="G310" s="3" t="str">
        <v>MKK II</v>
      </c>
      <c r="I310" s="3" t="str">
        <v>BC</v>
      </c>
      <c r="J310" s="3" t="str">
        <v>Direct</v>
      </c>
    </row>
    <row r="311">
      <c r="A311" s="3">
        <v>45225</v>
      </c>
      <c r="B311" s="3" t="str">
        <v>A:Addition</v>
      </c>
      <c r="C311" s="3" t="str">
        <v>P:P&amp;I</v>
      </c>
      <c r="D311" s="3">
        <f>D310+1</f>
        <v>484</v>
      </c>
      <c r="E311" s="3" t="str">
        <f>CONCAT("Q","/",LEFT(Table2[[#This Row],[Quotation Type]],1),"/", LEFT(Table2[[#This Row],[Branch]],1),"/", RIGHT(YEAR(TODAY()),2), "/",Table2[[#This Row],[Seq. Number]])</f>
        <v>Q/A/P/26/484</v>
      </c>
      <c r="F311" s="3" t="str">
        <v>Powerful Marine</v>
      </c>
      <c r="G311" s="3" t="str">
        <v>MKK II</v>
      </c>
      <c r="I311" s="3" t="str">
        <v>BC</v>
      </c>
      <c r="J311" s="3" t="str">
        <v>Direct</v>
      </c>
    </row>
    <row r="312">
      <c r="A312" s="3">
        <v>45225</v>
      </c>
      <c r="B312" s="3" t="str">
        <v>N:New Quotation</v>
      </c>
      <c r="C312" s="3" t="str">
        <v>H:Hull</v>
      </c>
      <c r="D312" s="3">
        <f>D311+1</f>
        <v>485</v>
      </c>
      <c r="E312" s="3" t="str">
        <f>CONCAT("Q","/",LEFT(Table2[[#This Row],[Quotation Type]],1),"/", LEFT(Table2[[#This Row],[Branch]],1),"/", RIGHT(YEAR(TODAY()),2), "/",Table2[[#This Row],[Seq. Number]])</f>
        <v>Q/N/H/26/485</v>
      </c>
      <c r="F312" s="3" t="str">
        <v>Pweza Fisheries</v>
      </c>
      <c r="I312" s="3" t="str">
        <v>Fishing Vessel</v>
      </c>
      <c r="J312" s="3" t="str">
        <v>IPIC</v>
      </c>
    </row>
    <row r="313">
      <c r="A313" s="3">
        <v>45226</v>
      </c>
      <c r="B313" s="3" t="str">
        <v>N:New Quotation</v>
      </c>
      <c r="C313" s="3" t="str">
        <v>H:Hull</v>
      </c>
      <c r="D313" s="3">
        <f>D312+1</f>
        <v>486</v>
      </c>
      <c r="E313" s="3" t="str">
        <f>CONCAT("Q","/",LEFT(Table2[[#This Row],[Quotation Type]],1),"/", LEFT(Table2[[#This Row],[Branch]],1),"/", RIGHT(YEAR(TODAY()),2), "/",Table2[[#This Row],[Seq. Number]])</f>
        <v>Q/N/H/26/486</v>
      </c>
      <c r="F313" s="3" t="str">
        <v>Adriatic for Management</v>
      </c>
      <c r="G313" s="3" t="str">
        <v>Al Rahmani S</v>
      </c>
      <c r="H313" s="3">
        <v>9559420</v>
      </c>
      <c r="I313" s="3" t="str">
        <v>GC</v>
      </c>
      <c r="J313" s="3" t="str">
        <v>Brandenburg</v>
      </c>
    </row>
    <row r="314">
      <c r="A314" s="3">
        <v>45230</v>
      </c>
      <c r="B314" s="3" t="str">
        <v>R:Renewal</v>
      </c>
      <c r="C314" s="3" t="str">
        <v>H:Hull</v>
      </c>
      <c r="D314" s="3">
        <f>D313+1</f>
        <v>487</v>
      </c>
      <c r="E314" s="3" t="str">
        <f>CONCAT("Q","/",LEFT(Table2[[#This Row],[Quotation Type]],1),"/", LEFT(Table2[[#This Row],[Branch]],1),"/", RIGHT(YEAR(TODAY()),2), "/",Table2[[#This Row],[Seq. Number]])</f>
        <v>Q/R/H/26/487</v>
      </c>
      <c r="F314" s="3" t="str">
        <v>Ocmis Maritime</v>
      </c>
      <c r="J314" s="3" t="str">
        <v>Mesco</v>
      </c>
    </row>
    <row r="315">
      <c r="A315" s="3">
        <v>45230</v>
      </c>
      <c r="B315" s="3" t="str">
        <v>R:Renewal</v>
      </c>
      <c r="C315" s="3" t="str">
        <v>H:Hull</v>
      </c>
      <c r="D315" s="3">
        <f>D314+1</f>
        <v>488</v>
      </c>
      <c r="E315" s="3" t="str">
        <f>CONCAT("Q","/",LEFT(Table2[[#This Row],[Quotation Type]],1),"/", LEFT(Table2[[#This Row],[Branch]],1),"/", RIGHT(YEAR(TODAY()),2), "/",Table2[[#This Row],[Seq. Number]])</f>
        <v>Q/R/H/26/488</v>
      </c>
      <c r="F315" s="3" t="str">
        <v>Amson Marine</v>
      </c>
      <c r="J315" s="3" t="str">
        <v>Sarnia</v>
      </c>
    </row>
    <row r="316">
      <c r="A316" s="3">
        <v>45230</v>
      </c>
      <c r="B316" s="3" t="str">
        <v>R:Renewal</v>
      </c>
      <c r="C316" s="3" t="str">
        <v>W:War</v>
      </c>
      <c r="D316" s="3">
        <f>D315+1</f>
        <v>489</v>
      </c>
      <c r="E316" s="3" t="str">
        <f>CONCAT("Q","/",LEFT(Table2[[#This Row],[Quotation Type]],1),"/", LEFT(Table2[[#This Row],[Branch]],1),"/", RIGHT(YEAR(TODAY()),2), "/",Table2[[#This Row],[Seq. Number]])</f>
        <v>Q/R/W/26/489</v>
      </c>
      <c r="F316" s="3" t="str">
        <v>Amson Marine</v>
      </c>
      <c r="J316" s="3" t="str">
        <v>Sarnia</v>
      </c>
    </row>
    <row r="317">
      <c r="A317" s="3">
        <v>45230</v>
      </c>
      <c r="B317" s="3" t="str">
        <v>N:New Quotation</v>
      </c>
      <c r="C317" s="3" t="str">
        <v>P:P&amp;I</v>
      </c>
      <c r="D317" s="3">
        <f>D316+1</f>
        <v>490</v>
      </c>
      <c r="E317" s="3" t="str">
        <f>CONCAT("Q","/",LEFT(Table2[[#This Row],[Quotation Type]],1),"/", LEFT(Table2[[#This Row],[Branch]],1),"/", RIGHT(YEAR(TODAY()),2), "/",Table2[[#This Row],[Seq. Number]])</f>
        <v>Q/N/P/26/490</v>
      </c>
      <c r="F317" s="3" t="str">
        <v>Zafarana Marine Services</v>
      </c>
      <c r="G317" s="3" t="str">
        <v>Maridive 105</v>
      </c>
      <c r="I317" s="3" t="str">
        <v>Tug</v>
      </c>
      <c r="J317" s="3" t="str">
        <v>IPIC</v>
      </c>
    </row>
    <row r="318">
      <c r="A318" s="3">
        <v>45232</v>
      </c>
      <c r="B318" s="3" t="str">
        <v>N:New Quotation</v>
      </c>
      <c r="C318" s="3" t="str">
        <v>H:Hull</v>
      </c>
      <c r="D318" s="3">
        <f>D317+1</f>
        <v>491</v>
      </c>
      <c r="E318" s="3" t="str">
        <f>CONCAT("Q","/",LEFT(Table2[[#This Row],[Quotation Type]],1),"/", LEFT(Table2[[#This Row],[Branch]],1),"/", RIGHT(YEAR(TODAY()),2), "/",Table2[[#This Row],[Seq. Number]])</f>
        <v>Q/N/H/26/491</v>
      </c>
      <c r="F318" s="3" t="str">
        <v>Alemax Shipping Company</v>
      </c>
      <c r="G318" s="3" t="str">
        <v>Oksana</v>
      </c>
      <c r="H318" s="3">
        <v>9077317</v>
      </c>
      <c r="I318" s="3" t="str">
        <v>BC</v>
      </c>
      <c r="J318" s="3" t="str">
        <v>IPIC</v>
      </c>
    </row>
    <row r="319">
      <c r="A319" s="3">
        <v>45232</v>
      </c>
      <c r="B319" s="3" t="str">
        <v>N:New Quotation</v>
      </c>
      <c r="C319" s="3" t="str">
        <v>H:Hull</v>
      </c>
      <c r="D319" s="3">
        <f>D318+1</f>
        <v>492</v>
      </c>
      <c r="E319" s="3" t="str">
        <f>CONCAT("Q","/",LEFT(Table2[[#This Row],[Quotation Type]],1),"/", LEFT(Table2[[#This Row],[Branch]],1),"/", RIGHT(YEAR(TODAY()),2), "/",Table2[[#This Row],[Seq. Number]])</f>
        <v>Q/N/H/26/492</v>
      </c>
      <c r="F319" s="3" t="str">
        <v>Neuship Trade</v>
      </c>
      <c r="G319" s="3" t="str">
        <v>Sea of Waves</v>
      </c>
      <c r="H319" s="3">
        <v>9071624</v>
      </c>
      <c r="I319" s="3" t="str">
        <v>GC</v>
      </c>
      <c r="J319" s="3" t="str">
        <v>IPIC</v>
      </c>
    </row>
    <row r="320">
      <c r="A320" s="3">
        <v>45232</v>
      </c>
      <c r="B320" s="3" t="str">
        <v>A:Addition</v>
      </c>
      <c r="C320" s="3" t="str">
        <v>W:War</v>
      </c>
      <c r="D320" s="3">
        <f>D319+1</f>
        <v>493</v>
      </c>
      <c r="E320" s="3" t="str">
        <f>CONCAT("Q","/",LEFT(Table2[[#This Row],[Quotation Type]],1),"/", LEFT(Table2[[#This Row],[Branch]],1),"/", RIGHT(YEAR(TODAY()),2), "/",Table2[[#This Row],[Seq. Number]])</f>
        <v>Q/A/W/26/493</v>
      </c>
      <c r="F320" s="3" t="str">
        <v>Neapoli Shipping</v>
      </c>
      <c r="G320" s="3" t="str">
        <v>AT 27</v>
      </c>
      <c r="H320" s="3">
        <v>9136539</v>
      </c>
      <c r="I320" s="3" t="str">
        <v>BC</v>
      </c>
      <c r="J320" s="3" t="str">
        <v>Sarnia</v>
      </c>
    </row>
    <row r="321">
      <c r="A321" s="3">
        <v>45233</v>
      </c>
      <c r="B321" s="3" t="str">
        <v>A:Addition</v>
      </c>
      <c r="C321" s="3" t="str">
        <v>W:War</v>
      </c>
      <c r="D321" s="3">
        <f>D320+1</f>
        <v>494</v>
      </c>
      <c r="E321" s="3" t="str">
        <f>CONCAT("Q","/",LEFT(Table2[[#This Row],[Quotation Type]],1),"/", LEFT(Table2[[#This Row],[Branch]],1),"/", RIGHT(YEAR(TODAY()),2), "/",Table2[[#This Row],[Seq. Number]])</f>
        <v>Q/A/W/26/494</v>
      </c>
      <c r="F321" s="3" t="str">
        <v>Akad Marine S.A.</v>
      </c>
      <c r="J321" s="3" t="str">
        <v>Direct</v>
      </c>
    </row>
    <row r="322">
      <c r="A322" s="3">
        <v>45233</v>
      </c>
      <c r="B322" s="3" t="str">
        <v>A:Addition</v>
      </c>
      <c r="C322" s="3" t="str">
        <v>W:War</v>
      </c>
      <c r="D322" s="3">
        <f>D321+1</f>
        <v>495</v>
      </c>
      <c r="E322" s="3" t="str">
        <f>CONCAT("Q","/",LEFT(Table2[[#This Row],[Quotation Type]],1),"/", LEFT(Table2[[#This Row],[Branch]],1),"/", RIGHT(YEAR(TODAY()),2), "/",Table2[[#This Row],[Seq. Number]])</f>
        <v>Q/A/W/26/495</v>
      </c>
      <c r="F322" s="3" t="str">
        <v>Akad Marine S.A.</v>
      </c>
      <c r="J322" s="3" t="str">
        <v>Direct</v>
      </c>
    </row>
    <row r="323">
      <c r="A323" s="3">
        <v>45237</v>
      </c>
      <c r="B323" s="3" t="str">
        <v>R:Renewal</v>
      </c>
      <c r="C323" s="3" t="str">
        <v>H:Hull</v>
      </c>
      <c r="D323" s="3">
        <f>D322+1</f>
        <v>496</v>
      </c>
      <c r="E323" s="3" t="str">
        <f>CONCAT("Q","/",LEFT(Table2[[#This Row],[Quotation Type]],1),"/", LEFT(Table2[[#This Row],[Branch]],1),"/", RIGHT(YEAR(TODAY()),2), "/",Table2[[#This Row],[Seq. Number]])</f>
        <v>Q/R/H/26/496</v>
      </c>
      <c r="F323" s="3" t="str">
        <v>Al Mahmoud</v>
      </c>
      <c r="G323" s="3" t="str">
        <v>Transporter</v>
      </c>
      <c r="I323" s="3" t="str">
        <v>MLV</v>
      </c>
      <c r="J323" s="3" t="str">
        <v>Direct</v>
      </c>
    </row>
    <row r="324">
      <c r="A324" s="3">
        <v>45237</v>
      </c>
      <c r="B324" s="3" t="str">
        <v>R:Renewal</v>
      </c>
      <c r="C324" s="3" t="str">
        <v>P:P&amp;I</v>
      </c>
      <c r="D324" s="3">
        <f>D323+1</f>
        <v>497</v>
      </c>
      <c r="E324" s="3" t="str">
        <f>CONCAT("Q","/",LEFT(Table2[[#This Row],[Quotation Type]],1),"/", LEFT(Table2[[#This Row],[Branch]],1),"/", RIGHT(YEAR(TODAY()),2), "/",Table2[[#This Row],[Seq. Number]])</f>
        <v>Q/R/P/26/497</v>
      </c>
      <c r="F324" s="3" t="str">
        <v>Al Mahmoud</v>
      </c>
      <c r="G324" s="3" t="str">
        <v>Transporter</v>
      </c>
      <c r="I324" s="3" t="str">
        <v>MLV</v>
      </c>
      <c r="J324" s="3" t="str">
        <v>Direct</v>
      </c>
    </row>
    <row r="325">
      <c r="A325" s="3">
        <v>45237</v>
      </c>
      <c r="B325" s="3" t="str">
        <v>N:New Quotation</v>
      </c>
      <c r="C325" s="3" t="str">
        <v>V:Voyage</v>
      </c>
      <c r="D325" s="3">
        <f>D324+1</f>
        <v>498</v>
      </c>
      <c r="E325" s="3" t="str">
        <f>CONCAT("Q","/",LEFT(Table2[[#This Row],[Quotation Type]],1),"/", LEFT(Table2[[#This Row],[Branch]],1),"/", RIGHT(YEAR(TODAY()),2), "/",Table2[[#This Row],[Seq. Number]])</f>
        <v>Q/N/V/26/498</v>
      </c>
      <c r="F325" s="3" t="str">
        <v>Royal Global Trading</v>
      </c>
      <c r="G325" s="3" t="str">
        <v>Safir Kish 4</v>
      </c>
      <c r="H325" s="3">
        <v>9559080</v>
      </c>
      <c r="I325" s="3" t="str">
        <v>Crew</v>
      </c>
      <c r="J325" s="3" t="str">
        <v>City</v>
      </c>
    </row>
    <row r="326">
      <c r="A326" s="3">
        <v>45238</v>
      </c>
      <c r="B326" s="3" t="str">
        <v>A:Addition</v>
      </c>
      <c r="C326" s="3" t="str">
        <v>P:P&amp;I</v>
      </c>
      <c r="D326" s="3">
        <f>D325+1</f>
        <v>499</v>
      </c>
      <c r="E326" s="3" t="str">
        <f>CONCAT("Q","/",LEFT(Table2[[#This Row],[Quotation Type]],1),"/", LEFT(Table2[[#This Row],[Branch]],1),"/", RIGHT(YEAR(TODAY()),2), "/",Table2[[#This Row],[Seq. Number]])</f>
        <v>Q/A/P/26/499</v>
      </c>
      <c r="F326" s="3" t="str">
        <v>Ocmis Maritime</v>
      </c>
      <c r="J326" s="3" t="str">
        <v>Mesco</v>
      </c>
    </row>
    <row r="327">
      <c r="A327" s="3">
        <v>45239</v>
      </c>
      <c r="B327" s="3" t="str">
        <v>N:New Quotation</v>
      </c>
      <c r="C327" s="3" t="str">
        <v>P:P&amp;I</v>
      </c>
      <c r="D327" s="3">
        <f>D326+1</f>
        <v>500</v>
      </c>
      <c r="E327" s="3" t="str">
        <f>CONCAT("Q","/",LEFT(Table2[[#This Row],[Quotation Type]],1),"/", LEFT(Table2[[#This Row],[Branch]],1),"/", RIGHT(YEAR(TODAY()),2), "/",Table2[[#This Row],[Seq. Number]])</f>
        <v>Q/N/P/26/500</v>
      </c>
      <c r="F327" s="3" t="str">
        <v>Nesco Shipping</v>
      </c>
      <c r="G327" s="3" t="str">
        <v>Sormovskiy</v>
      </c>
      <c r="H327" s="3">
        <v>8725632</v>
      </c>
      <c r="I327" s="3" t="str">
        <v>GC</v>
      </c>
      <c r="J327" s="3" t="str">
        <v>Profinsure</v>
      </c>
    </row>
    <row r="328">
      <c r="A328" s="3">
        <v>45240</v>
      </c>
      <c r="B328" s="3" t="str">
        <v>R:Renewal</v>
      </c>
      <c r="C328" s="3" t="str">
        <v>H:Hull</v>
      </c>
      <c r="D328" s="3">
        <f>D327+1</f>
        <v>501</v>
      </c>
      <c r="E328" s="3" t="str">
        <f>CONCAT("Q","/",LEFT(Table2[[#This Row],[Quotation Type]],1),"/", LEFT(Table2[[#This Row],[Branch]],1),"/", RIGHT(YEAR(TODAY()),2), "/",Table2[[#This Row],[Seq. Number]])</f>
        <v>Q/R/H/26/501</v>
      </c>
      <c r="F328" s="3" t="str">
        <v>Elbeco</v>
      </c>
      <c r="G328" s="3" t="str">
        <v>Norland</v>
      </c>
      <c r="H328" s="3">
        <v>7529940</v>
      </c>
      <c r="I328" s="3" t="str">
        <v>MLV</v>
      </c>
      <c r="J328" s="3" t="str">
        <v>Direct</v>
      </c>
    </row>
    <row r="329">
      <c r="A329" s="3">
        <v>45240</v>
      </c>
      <c r="B329" s="3" t="str">
        <v>R:Renewal</v>
      </c>
      <c r="C329" s="3" t="str">
        <v>P:P&amp;I</v>
      </c>
      <c r="D329" s="3">
        <f>D328+1</f>
        <v>502</v>
      </c>
      <c r="E329" s="3" t="str">
        <f>CONCAT("Q","/",LEFT(Table2[[#This Row],[Quotation Type]],1),"/", LEFT(Table2[[#This Row],[Branch]],1),"/", RIGHT(YEAR(TODAY()),2), "/",Table2[[#This Row],[Seq. Number]])</f>
        <v>Q/R/P/26/502</v>
      </c>
      <c r="F329" s="3" t="str">
        <v>Elbeco</v>
      </c>
      <c r="G329" s="3" t="str">
        <v>Norland</v>
      </c>
      <c r="H329" s="3">
        <v>7529940</v>
      </c>
      <c r="I329" s="3" t="str">
        <v>MLV</v>
      </c>
      <c r="J329" s="3" t="str">
        <v>Direct</v>
      </c>
    </row>
    <row r="330">
      <c r="A330" s="3">
        <v>45240</v>
      </c>
      <c r="B330" s="3" t="str">
        <v>R:Renewal</v>
      </c>
      <c r="C330" s="3" t="str">
        <v>W:War</v>
      </c>
      <c r="D330" s="3">
        <f>D329+1</f>
        <v>503</v>
      </c>
      <c r="E330" s="3" t="str">
        <f>CONCAT("Q","/",LEFT(Table2[[#This Row],[Quotation Type]],1),"/", LEFT(Table2[[#This Row],[Branch]],1),"/", RIGHT(YEAR(TODAY()),2), "/",Table2[[#This Row],[Seq. Number]])</f>
        <v>Q/R/W/26/503</v>
      </c>
      <c r="F330" s="3" t="str">
        <v>Elbeco</v>
      </c>
      <c r="G330" s="3" t="str">
        <v>Norland</v>
      </c>
      <c r="H330" s="3">
        <v>7529940</v>
      </c>
      <c r="I330" s="3" t="str">
        <v>MLV</v>
      </c>
      <c r="J330" s="3" t="str">
        <v>Direct</v>
      </c>
    </row>
    <row r="331">
      <c r="A331" s="3">
        <v>45243</v>
      </c>
      <c r="B331" s="3" t="str">
        <v>A:Addition</v>
      </c>
      <c r="C331" s="3" t="str">
        <v>P:P&amp;I</v>
      </c>
      <c r="D331" s="3">
        <f>D330+1</f>
        <v>504</v>
      </c>
      <c r="E331" s="3" t="str">
        <f>CONCAT("Q","/",LEFT(Table2[[#This Row],[Quotation Type]],1),"/", LEFT(Table2[[#This Row],[Branch]],1),"/", RIGHT(YEAR(TODAY()),2), "/",Table2[[#This Row],[Seq. Number]])</f>
        <v>Q/A/P/26/504</v>
      </c>
      <c r="F331" s="3" t="str">
        <v>Powerful Marine</v>
      </c>
      <c r="G331" s="3" t="str">
        <v>Sara S</v>
      </c>
      <c r="I331" s="3" t="str">
        <v>GC</v>
      </c>
      <c r="J331" s="3" t="str">
        <v>Direct</v>
      </c>
    </row>
    <row r="332">
      <c r="A332" s="3">
        <v>45247</v>
      </c>
      <c r="B332" s="3" t="str">
        <v>R:Renewal</v>
      </c>
      <c r="C332" s="3" t="str">
        <v>P:P&amp;I</v>
      </c>
      <c r="D332" s="3">
        <f>D331+1</f>
        <v>505</v>
      </c>
      <c r="E332" s="3" t="str">
        <f>CONCAT("Q","/",LEFT(Table2[[#This Row],[Quotation Type]],1),"/", LEFT(Table2[[#This Row],[Branch]],1),"/", RIGHT(YEAR(TODAY()),2), "/",Table2[[#This Row],[Seq. Number]])</f>
        <v>Q/R/P/26/505</v>
      </c>
      <c r="F332" s="3" t="str">
        <v>DMS Lines</v>
      </c>
      <c r="G332" s="3" t="str">
        <v>Sarah M</v>
      </c>
      <c r="H332" s="3">
        <v>7808463</v>
      </c>
      <c r="I332" s="3" t="str">
        <v>MLV</v>
      </c>
      <c r="J332" s="3" t="str">
        <v>Direct</v>
      </c>
    </row>
    <row r="333">
      <c r="A333" s="3">
        <v>45250</v>
      </c>
      <c r="B333" s="3" t="str">
        <v>R:Renewal</v>
      </c>
      <c r="C333" s="3" t="str">
        <v>H:Hull</v>
      </c>
      <c r="D333" s="3">
        <f>D332+1</f>
        <v>506</v>
      </c>
      <c r="E333" s="3" t="str">
        <f>CONCAT("Q","/",LEFT(Table2[[#This Row],[Quotation Type]],1),"/", LEFT(Table2[[#This Row],[Branch]],1),"/", RIGHT(YEAR(TODAY()),2), "/",Table2[[#This Row],[Seq. Number]])</f>
        <v>Q/R/H/26/506</v>
      </c>
      <c r="G333" s="3" t="str">
        <v>Bashar One Transport</v>
      </c>
      <c r="I333" s="3" t="str">
        <v>MLV</v>
      </c>
      <c r="J333" s="3" t="str">
        <v>Direct</v>
      </c>
    </row>
    <row r="334">
      <c r="A334" s="3">
        <v>45250</v>
      </c>
      <c r="B334" s="3" t="str">
        <v>R:Renewal</v>
      </c>
      <c r="C334" s="3" t="str">
        <v>P:P&amp;I</v>
      </c>
      <c r="D334" s="3">
        <f>D333+1</f>
        <v>507</v>
      </c>
      <c r="E334" s="3" t="str">
        <f>CONCAT("Q","/",LEFT(Table2[[#This Row],[Quotation Type]],1),"/", LEFT(Table2[[#This Row],[Branch]],1),"/", RIGHT(YEAR(TODAY()),2), "/",Table2[[#This Row],[Seq. Number]])</f>
        <v>Q/R/P/26/507</v>
      </c>
      <c r="G334" s="3" t="str">
        <v>Bashar One Transport</v>
      </c>
      <c r="I334" s="3" t="str">
        <v>MLV</v>
      </c>
      <c r="J334" s="3" t="str">
        <v>Direct</v>
      </c>
    </row>
    <row r="335">
      <c r="A335" s="3">
        <v>45250</v>
      </c>
      <c r="B335" s="3" t="str">
        <v>R:Renewal</v>
      </c>
      <c r="C335" s="3" t="str">
        <v>H:Hull</v>
      </c>
      <c r="D335" s="3">
        <f>D334+1</f>
        <v>508</v>
      </c>
      <c r="E335" s="3" t="str">
        <f>CONCAT("Q","/",LEFT(Table2[[#This Row],[Quotation Type]],1),"/", LEFT(Table2[[#This Row],[Branch]],1),"/", RIGHT(YEAR(TODAY()),2), "/",Table2[[#This Row],[Seq. Number]])</f>
        <v>Q/R/H/26/508</v>
      </c>
      <c r="F335" s="3" t="str">
        <v>Cedar Marine Services</v>
      </c>
      <c r="G335" s="3" t="str">
        <v>Daytona-H</v>
      </c>
      <c r="I335" s="3" t="str">
        <v>GC</v>
      </c>
      <c r="J335" s="3" t="str">
        <v>Brandenburg</v>
      </c>
    </row>
    <row r="336">
      <c r="A336" s="3">
        <v>45250</v>
      </c>
      <c r="B336" s="3" t="str">
        <v>R:Renewal</v>
      </c>
      <c r="C336" s="3" t="str">
        <v>W:War</v>
      </c>
      <c r="D336" s="3">
        <f>D335+1</f>
        <v>509</v>
      </c>
      <c r="E336" s="3" t="str">
        <f>CONCAT("Q","/",LEFT(Table2[[#This Row],[Quotation Type]],1),"/", LEFT(Table2[[#This Row],[Branch]],1),"/", RIGHT(YEAR(TODAY()),2), "/",Table2[[#This Row],[Seq. Number]])</f>
        <v>Q/R/W/26/509</v>
      </c>
      <c r="F336" s="3" t="str">
        <v>Cedar Marine Services</v>
      </c>
      <c r="G336" s="3" t="str">
        <v>Daytona-H</v>
      </c>
      <c r="I336" s="3" t="str">
        <v>GC</v>
      </c>
      <c r="J336" s="3" t="str">
        <v>Brandenburg</v>
      </c>
    </row>
    <row r="337">
      <c r="A337" s="3">
        <v>45250</v>
      </c>
      <c r="B337" s="3" t="str">
        <v>R:Renewal</v>
      </c>
      <c r="C337" s="3" t="str">
        <v>H:Hull</v>
      </c>
      <c r="D337" s="3">
        <f>D336+1</f>
        <v>510</v>
      </c>
      <c r="E337" s="3" t="str">
        <f>CONCAT("Q","/",LEFT(Table2[[#This Row],[Quotation Type]],1),"/", LEFT(Table2[[#This Row],[Branch]],1),"/", RIGHT(YEAR(TODAY()),2), "/",Table2[[#This Row],[Seq. Number]])</f>
        <v>Q/R/H/26/510</v>
      </c>
      <c r="F337" s="3" t="str">
        <v>Cedar Marine Services</v>
      </c>
      <c r="G337" s="3" t="str">
        <v>New Enas</v>
      </c>
      <c r="I337" s="3" t="str">
        <v>GC</v>
      </c>
      <c r="J337" s="3" t="str">
        <v>Brandenburg</v>
      </c>
    </row>
    <row r="338">
      <c r="A338" s="3">
        <v>45250</v>
      </c>
      <c r="B338" s="3" t="str">
        <v>R:Renewal</v>
      </c>
      <c r="C338" s="3" t="str">
        <v>W:War</v>
      </c>
      <c r="D338" s="3">
        <f>D337+1</f>
        <v>511</v>
      </c>
      <c r="E338" s="3" t="str">
        <f>CONCAT("Q","/",LEFT(Table2[[#This Row],[Quotation Type]],1),"/", LEFT(Table2[[#This Row],[Branch]],1),"/", RIGHT(YEAR(TODAY()),2), "/",Table2[[#This Row],[Seq. Number]])</f>
        <v>Q/R/W/26/511</v>
      </c>
      <c r="F338" s="3" t="str">
        <v>Cedar Marine Services</v>
      </c>
      <c r="G338" s="3" t="str">
        <v>New Enas</v>
      </c>
      <c r="I338" s="3" t="str">
        <v>GC</v>
      </c>
      <c r="J338" s="3" t="str">
        <v>Brandenburg</v>
      </c>
    </row>
    <row r="339">
      <c r="A339" s="3">
        <v>45250</v>
      </c>
      <c r="B339" s="3" t="str">
        <v>R:Renewal</v>
      </c>
      <c r="C339" s="3" t="str">
        <v>P:P&amp;I</v>
      </c>
      <c r="D339" s="3">
        <f>D338+1</f>
        <v>512</v>
      </c>
      <c r="E339" s="3" t="str">
        <f>CONCAT("Q","/",LEFT(Table2[[#This Row],[Quotation Type]],1),"/", LEFT(Table2[[#This Row],[Branch]],1),"/", RIGHT(YEAR(TODAY()),2), "/",Table2[[#This Row],[Seq. Number]])</f>
        <v>Q/R/P/26/512</v>
      </c>
      <c r="F339" s="3" t="str">
        <v>Bernard Shipping LLC</v>
      </c>
      <c r="G339" s="3" t="str">
        <v>Hamid S</v>
      </c>
      <c r="I339" s="3" t="str">
        <v>GC</v>
      </c>
      <c r="J339" s="3" t="str">
        <v>Direct</v>
      </c>
    </row>
    <row r="340">
      <c r="A340" s="3">
        <v>45250</v>
      </c>
      <c r="B340" s="3" t="str">
        <v>A:Addition</v>
      </c>
      <c r="C340" s="3" t="str">
        <v>H:Hull</v>
      </c>
      <c r="D340" s="3">
        <f>D339+1</f>
        <v>513</v>
      </c>
      <c r="E340" s="3" t="str">
        <f>CONCAT("Q","/",LEFT(Table2[[#This Row],[Quotation Type]],1),"/", LEFT(Table2[[#This Row],[Branch]],1),"/", RIGHT(YEAR(TODAY()),2), "/",Table2[[#This Row],[Seq. Number]])</f>
        <v>Q/A/H/26/513</v>
      </c>
      <c r="F340" s="3" t="str">
        <v>MKA Shipping</v>
      </c>
      <c r="G340" s="3" t="str">
        <v>Guo Shun 12</v>
      </c>
      <c r="I340" s="3" t="str">
        <v>BC</v>
      </c>
      <c r="J340" s="3" t="str">
        <v>Direct</v>
      </c>
    </row>
    <row r="341">
      <c r="A341" s="3">
        <v>45250</v>
      </c>
      <c r="B341" s="3" t="str">
        <v>A:Addition</v>
      </c>
      <c r="C341" s="3" t="str">
        <v>P:P&amp;I</v>
      </c>
      <c r="D341" s="3">
        <f>D340+1</f>
        <v>514</v>
      </c>
      <c r="E341" s="3" t="str">
        <f>CONCAT("Q","/",LEFT(Table2[[#This Row],[Quotation Type]],1),"/", LEFT(Table2[[#This Row],[Branch]],1),"/", RIGHT(YEAR(TODAY()),2), "/",Table2[[#This Row],[Seq. Number]])</f>
        <v>Q/A/P/26/514</v>
      </c>
      <c r="F341" s="3" t="str">
        <v>MKA Shipping</v>
      </c>
      <c r="G341" s="3" t="str">
        <v>Guo Shun 12</v>
      </c>
      <c r="I341" s="3" t="str">
        <v>BC</v>
      </c>
      <c r="J341" s="3" t="str">
        <v>Direct</v>
      </c>
    </row>
    <row r="342">
      <c r="A342" s="3">
        <v>45250</v>
      </c>
      <c r="B342" s="3" t="str">
        <v>N:New Quotation</v>
      </c>
      <c r="C342" s="3" t="str">
        <v>P:P&amp;I</v>
      </c>
      <c r="D342" s="3">
        <f>D341+1</f>
        <v>515</v>
      </c>
      <c r="E342" s="3" t="str">
        <f>CONCAT("Q","/",LEFT(Table2[[#This Row],[Quotation Type]],1),"/", LEFT(Table2[[#This Row],[Branch]],1),"/", RIGHT(YEAR(TODAY()),2), "/",Table2[[#This Row],[Seq. Number]])</f>
        <v>Q/N/P/26/515</v>
      </c>
      <c r="F342" s="3" t="str">
        <v>Somagec</v>
      </c>
      <c r="J342" s="3" t="str">
        <v>IPIC</v>
      </c>
    </row>
    <row r="343">
      <c r="A343" s="3">
        <v>45250</v>
      </c>
      <c r="B343" s="3" t="str">
        <v>N:New Quotation</v>
      </c>
      <c r="C343" s="3" t="str">
        <v>H:Hull</v>
      </c>
      <c r="D343" s="3">
        <f>D342+1</f>
        <v>516</v>
      </c>
      <c r="E343" s="3" t="str">
        <f>CONCAT("Q","/",LEFT(Table2[[#This Row],[Quotation Type]],1),"/", LEFT(Table2[[#This Row],[Branch]],1),"/", RIGHT(YEAR(TODAY()),2), "/",Table2[[#This Row],[Seq. Number]])</f>
        <v>Q/N/H/26/516</v>
      </c>
      <c r="F343" s="3" t="str">
        <v>Pegasus Shipping Lines</v>
      </c>
      <c r="G343" s="3" t="str">
        <v>Xin Sheng 36</v>
      </c>
      <c r="I343" s="3" t="str">
        <v>O/T</v>
      </c>
      <c r="J343" s="3" t="str">
        <v>IPIC</v>
      </c>
    </row>
    <row r="344">
      <c r="A344" s="3">
        <v>45251</v>
      </c>
      <c r="B344" s="3" t="str">
        <v>R:Renewal</v>
      </c>
      <c r="C344" s="3" t="str">
        <v>P:P&amp;I</v>
      </c>
      <c r="D344" s="3">
        <f>D343+1</f>
        <v>517</v>
      </c>
      <c r="E344" s="3" t="str">
        <f>CONCAT("Q","/",LEFT(Table2[[#This Row],[Quotation Type]],1),"/", LEFT(Table2[[#This Row],[Branch]],1),"/", RIGHT(YEAR(TODAY()),2), "/",Table2[[#This Row],[Seq. Number]])</f>
        <v>Q/R/P/26/517</v>
      </c>
      <c r="F344" s="3" t="str">
        <v>Powerful Marine</v>
      </c>
      <c r="J344" s="3" t="str">
        <v>Direct</v>
      </c>
    </row>
    <row r="345">
      <c r="A345" s="3">
        <v>45251</v>
      </c>
      <c r="B345" s="3" t="str">
        <v>R:Renewal</v>
      </c>
      <c r="C345" s="3" t="str">
        <v>H:Hull</v>
      </c>
      <c r="D345" s="3">
        <f>D344+1</f>
        <v>518</v>
      </c>
      <c r="E345" s="3" t="str">
        <f>CONCAT("Q","/",LEFT(Table2[[#This Row],[Quotation Type]],1),"/", LEFT(Table2[[#This Row],[Branch]],1),"/", RIGHT(YEAR(TODAY()),2), "/",Table2[[#This Row],[Seq. Number]])</f>
        <v>Q/R/H/26/518</v>
      </c>
      <c r="F345" s="3" t="str">
        <v>Seamasters International</v>
      </c>
      <c r="G345" s="3" t="str">
        <v>Majestic Noor</v>
      </c>
      <c r="H345" s="3">
        <v>9138642</v>
      </c>
      <c r="I345" s="3" t="str">
        <v>BC</v>
      </c>
      <c r="J345" s="3" t="str">
        <v>Sarnia</v>
      </c>
    </row>
    <row r="346">
      <c r="A346" s="3">
        <v>45251</v>
      </c>
      <c r="B346" s="3" t="str">
        <v>R:Renewal</v>
      </c>
      <c r="C346" s="3" t="str">
        <v>W:War</v>
      </c>
      <c r="D346" s="3">
        <f>D345+1</f>
        <v>519</v>
      </c>
      <c r="E346" s="3" t="str">
        <f>CONCAT("Q","/",LEFT(Table2[[#This Row],[Quotation Type]],1),"/", LEFT(Table2[[#This Row],[Branch]],1),"/", RIGHT(YEAR(TODAY()),2), "/",Table2[[#This Row],[Seq. Number]])</f>
        <v>Q/R/W/26/519</v>
      </c>
      <c r="F346" s="3" t="str">
        <v>Seamasters International</v>
      </c>
      <c r="G346" s="3" t="str">
        <v>Majestic Noor</v>
      </c>
      <c r="H346" s="3">
        <v>9138642</v>
      </c>
      <c r="I346" s="3" t="str">
        <v>BC</v>
      </c>
      <c r="J346" s="3" t="str">
        <v>Sarnia</v>
      </c>
    </row>
    <row r="347">
      <c r="A347" s="3">
        <v>45251</v>
      </c>
      <c r="B347" s="3" t="str">
        <v>R:Renewal</v>
      </c>
      <c r="C347" s="3" t="str">
        <v>H:Hull</v>
      </c>
      <c r="D347" s="3">
        <f>D346+1</f>
        <v>520</v>
      </c>
      <c r="E347" s="3" t="str">
        <f>CONCAT("Q","/",LEFT(Table2[[#This Row],[Quotation Type]],1),"/", LEFT(Table2[[#This Row],[Branch]],1),"/", RIGHT(YEAR(TODAY()),2), "/",Table2[[#This Row],[Seq. Number]])</f>
        <v>Q/R/H/26/520</v>
      </c>
      <c r="F347" s="3" t="str">
        <v>MCD Shipping</v>
      </c>
      <c r="J347" s="3" t="str">
        <v>Sarnia</v>
      </c>
    </row>
    <row r="348">
      <c r="A348" s="3">
        <v>45251</v>
      </c>
      <c r="B348" s="3" t="str">
        <v>R:Renewal</v>
      </c>
      <c r="C348" s="3" t="str">
        <v>W:War</v>
      </c>
      <c r="D348" s="3">
        <f>D347+1</f>
        <v>521</v>
      </c>
      <c r="E348" s="3" t="str">
        <f>CONCAT("Q","/",LEFT(Table2[[#This Row],[Quotation Type]],1),"/", LEFT(Table2[[#This Row],[Branch]],1),"/", RIGHT(YEAR(TODAY()),2), "/",Table2[[#This Row],[Seq. Number]])</f>
        <v>Q/R/W/26/521</v>
      </c>
      <c r="F348" s="3" t="str">
        <v>MCD Shipping</v>
      </c>
      <c r="J348" s="3" t="str">
        <v>Sarnia</v>
      </c>
    </row>
    <row r="349">
      <c r="A349" s="3">
        <v>45251</v>
      </c>
      <c r="B349" s="3" t="str">
        <v>R:Renewal</v>
      </c>
      <c r="C349" s="3" t="str">
        <v>H:Hull</v>
      </c>
      <c r="D349" s="3">
        <f>D348+1</f>
        <v>522</v>
      </c>
      <c r="E349" s="3" t="str">
        <f>CONCAT("Q","/",LEFT(Table2[[#This Row],[Quotation Type]],1),"/", LEFT(Table2[[#This Row],[Branch]],1),"/", RIGHT(YEAR(TODAY()),2), "/",Table2[[#This Row],[Seq. Number]])</f>
        <v>Q/R/H/26/522</v>
      </c>
      <c r="F349" s="3" t="str">
        <v>Princess Hiyam Shipping</v>
      </c>
      <c r="J349" s="3" t="str">
        <v>Sarnia</v>
      </c>
    </row>
    <row r="350">
      <c r="A350" s="3">
        <v>45253</v>
      </c>
      <c r="B350" s="3" t="str">
        <v>R:Renewal</v>
      </c>
      <c r="C350" s="3" t="str">
        <v>H:Hull</v>
      </c>
      <c r="D350" s="3">
        <f>D349+1</f>
        <v>523</v>
      </c>
      <c r="E350" s="3" t="str">
        <f>CONCAT("Q","/",LEFT(Table2[[#This Row],[Quotation Type]],1),"/", LEFT(Table2[[#This Row],[Branch]],1),"/", RIGHT(YEAR(TODAY()),2), "/",Table2[[#This Row],[Seq. Number]])</f>
        <v>Q/R/H/26/523</v>
      </c>
      <c r="F350" s="3" t="str">
        <v>Karazi Shipping</v>
      </c>
      <c r="J350" s="3" t="str">
        <v>Direct</v>
      </c>
    </row>
    <row r="351">
      <c r="A351" s="3">
        <v>45253</v>
      </c>
      <c r="B351" s="3" t="str">
        <v>R:Renewal</v>
      </c>
      <c r="C351" s="3" t="str">
        <v>P:P&amp;I</v>
      </c>
      <c r="D351" s="3">
        <f>D350+1</f>
        <v>524</v>
      </c>
      <c r="E351" s="3" t="str">
        <f>CONCAT("Q","/",LEFT(Table2[[#This Row],[Quotation Type]],1),"/", LEFT(Table2[[#This Row],[Branch]],1),"/", RIGHT(YEAR(TODAY()),2), "/",Table2[[#This Row],[Seq. Number]])</f>
        <v>Q/R/P/26/524</v>
      </c>
      <c r="F351" s="3" t="str">
        <v>Karazi Shipping</v>
      </c>
      <c r="J351" s="3" t="str">
        <v>Direct</v>
      </c>
    </row>
    <row r="352">
      <c r="A352" s="3">
        <v>45257</v>
      </c>
      <c r="B352" s="3" t="str">
        <v>R:Renewal</v>
      </c>
      <c r="C352" s="3" t="str">
        <v>P:P&amp;I</v>
      </c>
      <c r="D352" s="3">
        <f>D351+1</f>
        <v>525</v>
      </c>
      <c r="E352" s="3" t="str">
        <f>CONCAT("Q","/",LEFT(Table2[[#This Row],[Quotation Type]],1),"/", LEFT(Table2[[#This Row],[Branch]],1),"/", RIGHT(YEAR(TODAY()),2), "/",Table2[[#This Row],[Seq. Number]])</f>
        <v>Q/R/P/26/525</v>
      </c>
      <c r="F352" s="3" t="str">
        <v>Mina Group</v>
      </c>
      <c r="G352" s="3" t="str">
        <v>Maysa</v>
      </c>
      <c r="I352" s="3" t="str">
        <v>MLV</v>
      </c>
      <c r="J352" s="3" t="str">
        <v>Direct</v>
      </c>
    </row>
    <row r="353">
      <c r="A353" s="3">
        <v>45257</v>
      </c>
      <c r="B353" s="3" t="str">
        <v>N:New Quotation</v>
      </c>
      <c r="C353" s="3" t="str">
        <v>H:Hull</v>
      </c>
      <c r="D353" s="3">
        <f>D352+1</f>
        <v>526</v>
      </c>
      <c r="E353" s="3" t="str">
        <f>CONCAT("Q","/",LEFT(Table2[[#This Row],[Quotation Type]],1),"/", LEFT(Table2[[#This Row],[Branch]],1),"/", RIGHT(YEAR(TODAY()),2), "/",Table2[[#This Row],[Seq. Number]])</f>
        <v>Q/N/H/26/526</v>
      </c>
      <c r="F353" s="3" t="str">
        <v>Jasmin Shipping</v>
      </c>
      <c r="G353" s="3" t="str">
        <v>Erin</v>
      </c>
      <c r="H353" s="3">
        <v>9169330</v>
      </c>
      <c r="I353" s="3" t="str">
        <v>BC</v>
      </c>
      <c r="J353" s="3" t="str">
        <v>City</v>
      </c>
    </row>
    <row r="354">
      <c r="A354" s="3">
        <v>45257</v>
      </c>
      <c r="B354" s="3" t="str">
        <v>N:New Quotation</v>
      </c>
      <c r="C354" s="3" t="str">
        <v>P:P&amp;I</v>
      </c>
      <c r="D354" s="3">
        <f>D353+1</f>
        <v>527</v>
      </c>
      <c r="E354" s="3" t="str">
        <f>CONCAT("Q","/",LEFT(Table2[[#This Row],[Quotation Type]],1),"/", LEFT(Table2[[#This Row],[Branch]],1),"/", RIGHT(YEAR(TODAY()),2), "/",Table2[[#This Row],[Seq. Number]])</f>
        <v>Q/N/P/26/527</v>
      </c>
      <c r="F354" s="3" t="str">
        <v>Spring Marine</v>
      </c>
      <c r="I354" s="3" t="str">
        <v>GC</v>
      </c>
      <c r="J354" s="3" t="str">
        <v>Kuzey</v>
      </c>
    </row>
    <row r="355">
      <c r="A355" s="3">
        <v>45259</v>
      </c>
      <c r="B355" s="3" t="str">
        <v>N:New Quotation</v>
      </c>
      <c r="C355" s="3" t="str">
        <v>P:P&amp;I</v>
      </c>
      <c r="D355" s="3">
        <f>D354+1</f>
        <v>528</v>
      </c>
      <c r="E355" s="3" t="str">
        <f>CONCAT("Q","/",LEFT(Table2[[#This Row],[Quotation Type]],1),"/", LEFT(Table2[[#This Row],[Branch]],1),"/", RIGHT(YEAR(TODAY()),2), "/",Table2[[#This Row],[Seq. Number]])</f>
        <v>Q/N/P/26/528</v>
      </c>
      <c r="F355" s="3" t="str">
        <v>Generosity Shipping</v>
      </c>
      <c r="G355" s="3" t="str">
        <v>Kormoran</v>
      </c>
      <c r="I355" s="3" t="str">
        <v>GC</v>
      </c>
      <c r="J355" s="3" t="str">
        <v>Direct</v>
      </c>
    </row>
    <row r="356">
      <c r="A356" s="3">
        <v>45257</v>
      </c>
      <c r="B356" s="3" t="str">
        <v>N:New Quotation</v>
      </c>
      <c r="C356" s="3" t="str">
        <v>W:War</v>
      </c>
      <c r="D356" s="3">
        <f>D355+1</f>
        <v>529</v>
      </c>
      <c r="E356" s="3" t="str">
        <f>CONCAT("Q","/",LEFT(Table2[[#This Row],[Quotation Type]],1),"/", LEFT(Table2[[#This Row],[Branch]],1),"/", RIGHT(YEAR(TODAY()),2), "/",Table2[[#This Row],[Seq. Number]])</f>
        <v>Q/N/W/26/529</v>
      </c>
      <c r="F356" s="3" t="str">
        <v>Jasmin Shipping</v>
      </c>
      <c r="G356" s="3" t="str">
        <v>Erin</v>
      </c>
      <c r="H356" s="3">
        <v>9169330</v>
      </c>
      <c r="I356" s="3" t="str">
        <v>BC</v>
      </c>
      <c r="J356" s="3" t="str">
        <v>City</v>
      </c>
    </row>
    <row r="357">
      <c r="A357" s="3">
        <v>45261</v>
      </c>
      <c r="B357" s="3" t="str">
        <v>A:Addition</v>
      </c>
      <c r="C357" s="3" t="str">
        <v>H:Hull</v>
      </c>
      <c r="D357" s="3">
        <f>D356+1</f>
        <v>530</v>
      </c>
      <c r="E357" s="3" t="str">
        <f>CONCAT("Q","/",LEFT(Table2[[#This Row],[Quotation Type]],1),"/", LEFT(Table2[[#This Row],[Branch]],1),"/", RIGHT(YEAR(TODAY()),2), "/",Table2[[#This Row],[Seq. Number]])</f>
        <v>Q/A/H/26/530</v>
      </c>
      <c r="F357" s="3" t="str">
        <v>Bassam Affasha</v>
      </c>
      <c r="G357" s="3" t="str">
        <v>Ward Albahr</v>
      </c>
      <c r="I357" s="3" t="str">
        <v>Crew Boat</v>
      </c>
      <c r="J357" s="3" t="str">
        <v>Direct</v>
      </c>
    </row>
    <row r="358">
      <c r="A358" s="3">
        <v>45261</v>
      </c>
      <c r="B358" s="3" t="str">
        <v>A:Addition</v>
      </c>
      <c r="C358" s="3" t="str">
        <v>P:P&amp;I</v>
      </c>
      <c r="D358" s="3">
        <f>D357+1</f>
        <v>531</v>
      </c>
      <c r="E358" s="3" t="str">
        <f>CONCAT("Q","/",LEFT(Table2[[#This Row],[Quotation Type]],1),"/", LEFT(Table2[[#This Row],[Branch]],1),"/", RIGHT(YEAR(TODAY()),2), "/",Table2[[#This Row],[Seq. Number]])</f>
        <v>Q/A/P/26/531</v>
      </c>
      <c r="F358" s="3" t="str">
        <v>Bassam Affasha</v>
      </c>
      <c r="G358" s="3" t="str">
        <v>Ward Albahr</v>
      </c>
      <c r="I358" s="3" t="str">
        <v>Crew Boat</v>
      </c>
      <c r="J358" s="3" t="str">
        <v>Direct</v>
      </c>
    </row>
    <row r="359">
      <c r="A359" s="3">
        <v>45261</v>
      </c>
      <c r="B359" s="3" t="str">
        <v>N:New Quotation</v>
      </c>
      <c r="C359" s="3" t="str">
        <v>H:Hull</v>
      </c>
      <c r="D359" s="3">
        <f>D358+1</f>
        <v>532</v>
      </c>
      <c r="E359" s="3" t="str">
        <f>CONCAT("Q","/",LEFT(Table2[[#This Row],[Quotation Type]],1),"/", LEFT(Table2[[#This Row],[Branch]],1),"/", RIGHT(YEAR(TODAY()),2), "/",Table2[[#This Row],[Seq. Number]])</f>
        <v>Q/N/H/26/532</v>
      </c>
      <c r="F359" s="3" t="str">
        <v>Elie Medlej</v>
      </c>
      <c r="G359" s="3" t="str">
        <v>Talia</v>
      </c>
      <c r="I359" s="3" t="str">
        <v>GC</v>
      </c>
      <c r="J359" s="3" t="str">
        <v>Direct</v>
      </c>
    </row>
    <row r="360">
      <c r="A360" s="3">
        <v>45261</v>
      </c>
      <c r="B360" s="3" t="str">
        <v>N:New Quotation</v>
      </c>
      <c r="C360" s="3" t="str">
        <v>P:P&amp;I</v>
      </c>
      <c r="D360" s="3">
        <f>D359+1</f>
        <v>533</v>
      </c>
      <c r="E360" s="3" t="str">
        <f>CONCAT("Q","/",LEFT(Table2[[#This Row],[Quotation Type]],1),"/", LEFT(Table2[[#This Row],[Branch]],1),"/", RIGHT(YEAR(TODAY()),2), "/",Table2[[#This Row],[Seq. Number]])</f>
        <v>Q/N/P/26/533</v>
      </c>
      <c r="F360" s="3" t="str">
        <v>Elie Medlej</v>
      </c>
      <c r="G360" s="3" t="str">
        <v>Talia</v>
      </c>
      <c r="I360" s="3" t="str">
        <v>GC</v>
      </c>
      <c r="J360" s="3" t="str">
        <v>Direct</v>
      </c>
    </row>
    <row r="361">
      <c r="A361" s="3">
        <v>45262</v>
      </c>
      <c r="B361" s="3" t="str">
        <v>N:New Quotation</v>
      </c>
      <c r="C361" s="3" t="str">
        <v>H:Hull</v>
      </c>
      <c r="D361" s="3">
        <f>D360+1</f>
        <v>534</v>
      </c>
      <c r="E361" s="3" t="str">
        <f>CONCAT("Q","/",LEFT(Table2[[#This Row],[Quotation Type]],1),"/", LEFT(Table2[[#This Row],[Branch]],1),"/", RIGHT(YEAR(TODAY()),2), "/",Table2[[#This Row],[Seq. Number]])</f>
        <v>Q/N/H/26/534</v>
      </c>
      <c r="F361" s="3" t="str">
        <v>Observator</v>
      </c>
      <c r="G361" s="3" t="str">
        <v>Fleet 2</v>
      </c>
      <c r="J361" s="3" t="str">
        <v>Observator</v>
      </c>
    </row>
    <row r="362">
      <c r="A362" s="3">
        <v>45262</v>
      </c>
      <c r="B362" s="3" t="str">
        <v>N:New Quotation</v>
      </c>
      <c r="C362" s="3" t="str">
        <v>P:P&amp;I</v>
      </c>
      <c r="D362" s="3">
        <f>D361+1</f>
        <v>535</v>
      </c>
      <c r="E362" s="3" t="str">
        <f>CONCAT("Q","/",LEFT(Table2[[#This Row],[Quotation Type]],1),"/", LEFT(Table2[[#This Row],[Branch]],1),"/", RIGHT(YEAR(TODAY()),2), "/",Table2[[#This Row],[Seq. Number]])</f>
        <v>Q/N/P/26/535</v>
      </c>
      <c r="F362" s="3" t="str">
        <v>Observator</v>
      </c>
      <c r="G362" s="3" t="str">
        <v>Fleet 2</v>
      </c>
      <c r="J362" s="3" t="str">
        <v>Observator</v>
      </c>
    </row>
    <row r="363">
      <c r="A363" s="3">
        <v>45262</v>
      </c>
      <c r="B363" s="3" t="str">
        <v>N:New Quotation</v>
      </c>
      <c r="C363" s="3" t="str">
        <v>H:Hull</v>
      </c>
      <c r="D363" s="3">
        <f>D362+1</f>
        <v>536</v>
      </c>
      <c r="E363" s="3" t="str">
        <f>CONCAT("Q","/",LEFT(Table2[[#This Row],[Quotation Type]],1),"/", LEFT(Table2[[#This Row],[Branch]],1),"/", RIGHT(YEAR(TODAY()),2), "/",Table2[[#This Row],[Seq. Number]])</f>
        <v>Q/N/H/26/536</v>
      </c>
      <c r="F363" s="3" t="str">
        <v>Observator</v>
      </c>
      <c r="G363" s="3" t="str">
        <v>Fleet 4</v>
      </c>
      <c r="J363" s="3" t="str">
        <v>Observator</v>
      </c>
    </row>
    <row r="364">
      <c r="A364" s="3">
        <v>45262</v>
      </c>
      <c r="B364" s="3" t="str">
        <v>N:New Quotation</v>
      </c>
      <c r="C364" s="3" t="str">
        <v>H:Hull</v>
      </c>
      <c r="D364" s="3">
        <f>D363+1</f>
        <v>537</v>
      </c>
      <c r="E364" s="3" t="str">
        <f>CONCAT("Q","/",LEFT(Table2[[#This Row],[Quotation Type]],1),"/", LEFT(Table2[[#This Row],[Branch]],1),"/", RIGHT(YEAR(TODAY()),2), "/",Table2[[#This Row],[Seq. Number]])</f>
        <v>Q/N/H/26/537</v>
      </c>
      <c r="F364" s="3" t="str">
        <v>Observator</v>
      </c>
      <c r="G364" s="3" t="str">
        <v>Fleet 5</v>
      </c>
      <c r="J364" s="3" t="str">
        <v>Observator</v>
      </c>
    </row>
    <row r="365">
      <c r="A365" s="3">
        <v>45262</v>
      </c>
      <c r="B365" s="3" t="str">
        <v>N:New Quotation</v>
      </c>
      <c r="C365" s="3" t="str">
        <v>P:P&amp;I</v>
      </c>
      <c r="D365" s="3">
        <f>D364+1</f>
        <v>538</v>
      </c>
      <c r="E365" s="3" t="str">
        <f>CONCAT("Q","/",LEFT(Table2[[#This Row],[Quotation Type]],1),"/", LEFT(Table2[[#This Row],[Branch]],1),"/", RIGHT(YEAR(TODAY()),2), "/",Table2[[#This Row],[Seq. Number]])</f>
        <v>Q/N/P/26/538</v>
      </c>
      <c r="F365" s="3" t="str">
        <v>Observator</v>
      </c>
      <c r="G365" s="3" t="str">
        <v>Fleet 5</v>
      </c>
      <c r="J365" s="3" t="str">
        <v>Observator</v>
      </c>
    </row>
    <row r="366">
      <c r="A366" s="3">
        <v>45262</v>
      </c>
      <c r="B366" s="3" t="str">
        <v>N:New Quotation</v>
      </c>
      <c r="C366" s="3" t="str">
        <v>P:P&amp;I</v>
      </c>
      <c r="D366" s="3">
        <f>D365+1</f>
        <v>539</v>
      </c>
      <c r="E366" s="3" t="str">
        <f>CONCAT("Q","/",LEFT(Table2[[#This Row],[Quotation Type]],1),"/", LEFT(Table2[[#This Row],[Branch]],1),"/", RIGHT(YEAR(TODAY()),2), "/",Table2[[#This Row],[Seq. Number]])</f>
        <v>Q/N/P/26/539</v>
      </c>
      <c r="F366" s="3" t="str">
        <v>Observator</v>
      </c>
      <c r="G366" s="3" t="str">
        <v>Marwan Kaptan</v>
      </c>
      <c r="J366" s="3" t="str">
        <v>Observator</v>
      </c>
    </row>
    <row r="367">
      <c r="A367" s="3">
        <v>45262</v>
      </c>
      <c r="B367" s="3" t="str">
        <v>N:New Quotation</v>
      </c>
      <c r="C367" s="3" t="str">
        <v>H:Hull</v>
      </c>
      <c r="D367" s="3">
        <f>D366+1</f>
        <v>540</v>
      </c>
      <c r="E367" s="3" t="str">
        <f>CONCAT("Q","/",LEFT(Table2[[#This Row],[Quotation Type]],1),"/", LEFT(Table2[[#This Row],[Branch]],1),"/", RIGHT(YEAR(TODAY()),2), "/",Table2[[#This Row],[Seq. Number]])</f>
        <v>Q/N/H/26/540</v>
      </c>
      <c r="F367" s="3" t="str">
        <v>Observator</v>
      </c>
      <c r="G367" s="3" t="str">
        <v>Star Light</v>
      </c>
      <c r="J367" s="3" t="str">
        <v>Observator</v>
      </c>
    </row>
    <row r="368">
      <c r="A368" s="3">
        <v>45262</v>
      </c>
      <c r="B368" s="3" t="str">
        <v>N:New Quotation</v>
      </c>
      <c r="C368" s="3" t="str">
        <v>P:P&amp;I</v>
      </c>
      <c r="D368" s="3">
        <f>D367+1</f>
        <v>541</v>
      </c>
      <c r="E368" s="3" t="str">
        <f>CONCAT("Q","/",LEFT(Table2[[#This Row],[Quotation Type]],1),"/", LEFT(Table2[[#This Row],[Branch]],1),"/", RIGHT(YEAR(TODAY()),2), "/",Table2[[#This Row],[Seq. Number]])</f>
        <v>Q/N/P/26/541</v>
      </c>
      <c r="F368" s="3" t="str">
        <v>Observator</v>
      </c>
      <c r="G368" s="3" t="str">
        <v>Star Light</v>
      </c>
      <c r="J368" s="3" t="str">
        <v>Observator</v>
      </c>
    </row>
    <row r="369">
      <c r="A369" s="3">
        <v>45265</v>
      </c>
      <c r="B369" s="3" t="str">
        <v>N:New Quotation</v>
      </c>
      <c r="C369" s="3" t="str">
        <v>C:Cargo</v>
      </c>
      <c r="D369" s="3">
        <f>D368+1</f>
        <v>542</v>
      </c>
      <c r="E369" s="3" t="str">
        <f>CONCAT("Q","/",LEFT(Table2[[#This Row],[Quotation Type]],1),"/", LEFT(Table2[[#This Row],[Branch]],1),"/", RIGHT(YEAR(TODAY()),2), "/",Table2[[#This Row],[Seq. Number]])</f>
        <v>Q/N/C/26/542</v>
      </c>
      <c r="F369" s="3" t="str">
        <v>Startime</v>
      </c>
      <c r="J369" s="3" t="str">
        <v>Gaby Fattal</v>
      </c>
    </row>
    <row r="370">
      <c r="A370" s="3">
        <v>45266</v>
      </c>
      <c r="B370" s="3" t="str">
        <v>A:Addition</v>
      </c>
      <c r="C370" s="3" t="str">
        <v>H:Hull</v>
      </c>
      <c r="D370" s="3">
        <f>D369+1</f>
        <v>543</v>
      </c>
      <c r="E370" s="3" t="str">
        <f>CONCAT("Q","/",LEFT(Table2[[#This Row],[Quotation Type]],1),"/", LEFT(Table2[[#This Row],[Branch]],1),"/", RIGHT(YEAR(TODAY()),2), "/",Table2[[#This Row],[Seq. Number]])</f>
        <v>Q/A/H/26/543</v>
      </c>
      <c r="F370" s="3" t="str">
        <v>MKA Shipping</v>
      </c>
      <c r="G370" s="3" t="str">
        <v>Transco Glory</v>
      </c>
      <c r="I370" s="3" t="str">
        <v>GC</v>
      </c>
      <c r="J370" s="3" t="str">
        <v>Direct</v>
      </c>
    </row>
    <row r="371">
      <c r="A371" s="3">
        <v>45266</v>
      </c>
      <c r="B371" s="3" t="str">
        <v>A:Addition</v>
      </c>
      <c r="C371" s="3" t="str">
        <v>P:P&amp;I</v>
      </c>
      <c r="D371" s="3">
        <f>D370+1</f>
        <v>544</v>
      </c>
      <c r="E371" s="3" t="str">
        <f>CONCAT("Q","/",LEFT(Table2[[#This Row],[Quotation Type]],1),"/", LEFT(Table2[[#This Row],[Branch]],1),"/", RIGHT(YEAR(TODAY()),2), "/",Table2[[#This Row],[Seq. Number]])</f>
        <v>Q/A/P/26/544</v>
      </c>
      <c r="F371" s="3" t="str">
        <v>MKA Shipping</v>
      </c>
      <c r="G371" s="3" t="str">
        <v>Transco Glory</v>
      </c>
      <c r="I371" s="3" t="str">
        <v>GC</v>
      </c>
      <c r="J371" s="3" t="str">
        <v>Direct</v>
      </c>
    </row>
    <row r="372">
      <c r="A372" s="3">
        <v>45267</v>
      </c>
      <c r="B372" s="3" t="str">
        <v>N:New Quotation</v>
      </c>
      <c r="C372" s="3" t="str">
        <v>H:Hull</v>
      </c>
      <c r="D372" s="3">
        <f>D371+1</f>
        <v>545</v>
      </c>
      <c r="E372" s="3" t="str">
        <f>CONCAT("Q","/",LEFT(Table2[[#This Row],[Quotation Type]],1),"/", LEFT(Table2[[#This Row],[Branch]],1),"/", RIGHT(YEAR(TODAY()),2), "/",Table2[[#This Row],[Seq. Number]])</f>
        <v>Q/N/H/26/545</v>
      </c>
      <c r="F372" s="3" t="str">
        <v>Ofco</v>
      </c>
      <c r="J372" s="3" t="str">
        <v>IPIC</v>
      </c>
    </row>
    <row r="373">
      <c r="A373" s="3">
        <v>45268</v>
      </c>
      <c r="B373" s="3" t="str">
        <v>N:New Quotation</v>
      </c>
      <c r="C373" s="3" t="str">
        <v>H:Hull</v>
      </c>
      <c r="D373" s="3">
        <f>D372+1</f>
        <v>546</v>
      </c>
      <c r="E373" s="3" t="str">
        <f>CONCAT("Q","/",LEFT(Table2[[#This Row],[Quotation Type]],1),"/", LEFT(Table2[[#This Row],[Branch]],1),"/", RIGHT(YEAR(TODAY()),2), "/",Table2[[#This Row],[Seq. Number]])</f>
        <v>Q/N/H/26/546</v>
      </c>
      <c r="F373" s="3" t="str">
        <v>SSS</v>
      </c>
      <c r="G373" s="3" t="str">
        <v>GF Trader</v>
      </c>
      <c r="I373" s="3" t="str">
        <v>BC</v>
      </c>
      <c r="J373" s="3" t="str">
        <v>SSS</v>
      </c>
    </row>
    <row r="374">
      <c r="A374" s="3">
        <v>45272</v>
      </c>
      <c r="B374" s="3" t="str">
        <v>N:New Quotation</v>
      </c>
      <c r="C374" s="3" t="str">
        <v>H:Hull</v>
      </c>
      <c r="D374" s="3">
        <f>D373+1</f>
        <v>547</v>
      </c>
      <c r="E374" s="3" t="str">
        <f>CONCAT("Q","/",LEFT(Table2[[#This Row],[Quotation Type]],1),"/", LEFT(Table2[[#This Row],[Branch]],1),"/", RIGHT(YEAR(TODAY()),2), "/",Table2[[#This Row],[Seq. Number]])</f>
        <v>Q/N/H/26/547</v>
      </c>
      <c r="F374" s="3" t="str">
        <v>Tower Shipping Co</v>
      </c>
      <c r="G374" s="3" t="str">
        <v>Xin Hai Zhou 3</v>
      </c>
      <c r="H374" s="3">
        <v>9444182</v>
      </c>
      <c r="I374" s="3" t="str">
        <v>GC</v>
      </c>
      <c r="J374" s="3" t="str">
        <v>Brandenburg</v>
      </c>
    </row>
    <row r="375">
      <c r="A375" s="3">
        <v>45272</v>
      </c>
      <c r="B375" s="3" t="str">
        <v>R:Renewal</v>
      </c>
      <c r="C375" s="3" t="str">
        <v>H:Hull</v>
      </c>
      <c r="D375" s="3">
        <f>D374+1</f>
        <v>548</v>
      </c>
      <c r="E375" s="3" t="str">
        <f>CONCAT("Q","/",LEFT(Table2[[#This Row],[Quotation Type]],1),"/", LEFT(Table2[[#This Row],[Branch]],1),"/", RIGHT(YEAR(TODAY()),2), "/",Table2[[#This Row],[Seq. Number]])</f>
        <v>Q/R/H/26/548</v>
      </c>
      <c r="F375" s="3" t="str">
        <v>Sea Life</v>
      </c>
      <c r="G375" s="3" t="str">
        <v>Simas</v>
      </c>
      <c r="J375" s="3" t="str">
        <v>Kuzey</v>
      </c>
    </row>
    <row r="376">
      <c r="A376" s="3">
        <v>45272</v>
      </c>
      <c r="B376" s="3" t="str">
        <v>N:New Quotation</v>
      </c>
      <c r="C376" s="3" t="str">
        <v>P:P&amp;I</v>
      </c>
      <c r="D376" s="3">
        <f>D375+1</f>
        <v>549</v>
      </c>
      <c r="E376" s="3" t="str">
        <f>CONCAT("Q","/",LEFT(Table2[[#This Row],[Quotation Type]],1),"/", LEFT(Table2[[#This Row],[Branch]],1),"/", RIGHT(YEAR(TODAY()),2), "/",Table2[[#This Row],[Seq. Number]])</f>
        <v>Q/N/P/26/549</v>
      </c>
      <c r="F376" s="3" t="str">
        <v>Eltarek</v>
      </c>
      <c r="J376" s="3" t="str">
        <v>Mesco</v>
      </c>
    </row>
    <row r="377">
      <c r="A377" s="3">
        <v>45272</v>
      </c>
      <c r="B377" s="3" t="str">
        <v>N:New Quotation</v>
      </c>
      <c r="C377" s="3" t="str">
        <v>P:P&amp;I</v>
      </c>
      <c r="D377" s="3">
        <f>D376+1</f>
        <v>550</v>
      </c>
      <c r="E377" s="3" t="str">
        <f>CONCAT("Q","/",LEFT(Table2[[#This Row],[Quotation Type]],1),"/", LEFT(Table2[[#This Row],[Branch]],1),"/", RIGHT(YEAR(TODAY()),2), "/",Table2[[#This Row],[Seq. Number]])</f>
        <v>Q/N/P/26/550</v>
      </c>
      <c r="F377" s="3" t="str">
        <v>SSS</v>
      </c>
      <c r="G377" s="3" t="str">
        <v>GF Trader</v>
      </c>
      <c r="I377" s="3" t="str">
        <v>BC</v>
      </c>
      <c r="J377" s="3" t="str">
        <v>SSS</v>
      </c>
    </row>
    <row r="378">
      <c r="A378" s="3">
        <v>45273</v>
      </c>
      <c r="B378" s="3" t="str">
        <v>R:Renewal</v>
      </c>
      <c r="C378" s="3" t="str">
        <v>H:Hull</v>
      </c>
      <c r="D378" s="3">
        <f>D377+1</f>
        <v>551</v>
      </c>
      <c r="E378" s="3" t="str">
        <f>CONCAT("Q","/",LEFT(Table2[[#This Row],[Quotation Type]],1),"/", LEFT(Table2[[#This Row],[Branch]],1),"/", RIGHT(YEAR(TODAY()),2), "/",Table2[[#This Row],[Seq. Number]])</f>
        <v>Q/R/H/26/551</v>
      </c>
      <c r="F378" s="3" t="str">
        <v>Zamzam Shipping</v>
      </c>
      <c r="G378" s="3" t="str">
        <v>Zamzam A</v>
      </c>
      <c r="J378" s="3" t="str">
        <v>Brandenburg</v>
      </c>
    </row>
    <row r="379">
      <c r="A379" s="3">
        <v>45273</v>
      </c>
      <c r="B379" s="3" t="str">
        <v>N:New Quotation</v>
      </c>
      <c r="C379" s="3" t="str">
        <v>H:Hull</v>
      </c>
      <c r="D379" s="3">
        <f>D378+1</f>
        <v>552</v>
      </c>
      <c r="E379" s="3" t="str">
        <f>CONCAT("Q","/",LEFT(Table2[[#This Row],[Quotation Type]],1),"/", LEFT(Table2[[#This Row],[Branch]],1),"/", RIGHT(YEAR(TODAY()),2), "/",Table2[[#This Row],[Seq. Number]])</f>
        <v>Q/N/H/26/552</v>
      </c>
      <c r="G379" s="3" t="str">
        <v>Yin Yuan</v>
      </c>
      <c r="J379" s="3" t="str">
        <v>Fouad Al Mahmoud</v>
      </c>
    </row>
    <row r="380">
      <c r="A380" s="3">
        <v>45273</v>
      </c>
      <c r="B380" s="3" t="str">
        <v>N:New Quotation</v>
      </c>
      <c r="C380" s="3" t="str">
        <v>P:P&amp;I</v>
      </c>
      <c r="D380" s="3">
        <f>D379+1</f>
        <v>553</v>
      </c>
      <c r="E380" s="3" t="str">
        <f>CONCAT("Q","/",LEFT(Table2[[#This Row],[Quotation Type]],1),"/", LEFT(Table2[[#This Row],[Branch]],1),"/", RIGHT(YEAR(TODAY()),2), "/",Table2[[#This Row],[Seq. Number]])</f>
        <v>Q/N/P/26/553</v>
      </c>
      <c r="G380" s="3" t="str">
        <v>Yin Yuan</v>
      </c>
      <c r="J380" s="3" t="str">
        <v>Fouad Al Mahmoud</v>
      </c>
    </row>
    <row r="381">
      <c r="A381" s="3">
        <v>45274</v>
      </c>
      <c r="B381" s="3" t="str">
        <v>N:New Quotation</v>
      </c>
      <c r="C381" s="3" t="str">
        <v>H:Hull</v>
      </c>
      <c r="D381" s="3">
        <f>D380+1</f>
        <v>554</v>
      </c>
      <c r="E381" s="3" t="str">
        <f>CONCAT("Q","/",LEFT(Table2[[#This Row],[Quotation Type]],1),"/", LEFT(Table2[[#This Row],[Branch]],1),"/", RIGHT(YEAR(TODAY()),2), "/",Table2[[#This Row],[Seq. Number]])</f>
        <v>Q/N/H/26/554</v>
      </c>
      <c r="G381" s="3" t="str">
        <v>Haj Mohammed</v>
      </c>
      <c r="J381" s="3" t="str">
        <v>Sarnia</v>
      </c>
    </row>
    <row r="382">
      <c r="A382" s="3">
        <v>45274</v>
      </c>
      <c r="B382" s="3" t="str">
        <v>N:New Quotation</v>
      </c>
      <c r="C382" s="3" t="str">
        <v>H:Hull</v>
      </c>
      <c r="D382" s="3">
        <f>D381+1</f>
        <v>555</v>
      </c>
      <c r="E382" s="3" t="str">
        <f>CONCAT("Q","/",LEFT(Table2[[#This Row],[Quotation Type]],1),"/", LEFT(Table2[[#This Row],[Branch]],1),"/", RIGHT(YEAR(TODAY()),2), "/",Table2[[#This Row],[Seq. Number]])</f>
        <v>Q/N/H/26/555</v>
      </c>
      <c r="G382" s="3" t="str">
        <v>Propus</v>
      </c>
      <c r="I382" s="3" t="str">
        <v>GC</v>
      </c>
      <c r="J382" s="3" t="str">
        <v>Kominsur</v>
      </c>
    </row>
    <row r="383">
      <c r="A383" s="3">
        <v>45274</v>
      </c>
      <c r="B383" s="3" t="str">
        <v>N:New Quotation</v>
      </c>
      <c r="C383" s="3" t="str">
        <v>V:Voyage</v>
      </c>
      <c r="D383" s="3">
        <f>D382+1</f>
        <v>556</v>
      </c>
      <c r="E383" s="3" t="str">
        <f>CONCAT("Q","/",LEFT(Table2[[#This Row],[Quotation Type]],1),"/", LEFT(Table2[[#This Row],[Branch]],1),"/", RIGHT(YEAR(TODAY()),2), "/",Table2[[#This Row],[Seq. Number]])</f>
        <v>Q/N/V/26/556</v>
      </c>
      <c r="G383" s="3" t="str">
        <v>Rabigh 3</v>
      </c>
      <c r="I383" s="3" t="str">
        <v>Tug</v>
      </c>
      <c r="J383" s="3" t="str">
        <v>Zoubeir</v>
      </c>
    </row>
    <row r="384">
      <c r="A384" s="3">
        <v>45275</v>
      </c>
      <c r="B384" s="3" t="str">
        <v>A:Addition</v>
      </c>
      <c r="C384" s="3" t="str">
        <v>H:Hull</v>
      </c>
      <c r="D384" s="3">
        <f>D383+1</f>
        <v>557</v>
      </c>
      <c r="E384" s="3" t="str">
        <f>CONCAT("Q","/",LEFT(Table2[[#This Row],[Quotation Type]],1),"/", LEFT(Table2[[#This Row],[Branch]],1),"/", RIGHT(YEAR(TODAY()),2), "/",Table2[[#This Row],[Seq. Number]])</f>
        <v>Q/A/H/26/557</v>
      </c>
      <c r="F384" s="3" t="str">
        <v>Adriatic for Management</v>
      </c>
      <c r="G384" s="3" t="str">
        <v>Ayed 1</v>
      </c>
      <c r="I384" s="3" t="str">
        <v>GC</v>
      </c>
      <c r="J384" s="3" t="str">
        <v>Sarnia</v>
      </c>
    </row>
    <row r="385">
      <c r="A385" s="3">
        <v>45279</v>
      </c>
      <c r="B385" s="3" t="str">
        <v>N:New Quotation</v>
      </c>
      <c r="C385" s="3" t="str">
        <v>V:Voyage</v>
      </c>
      <c r="D385" s="3">
        <f>D384+1</f>
        <v>558</v>
      </c>
      <c r="E385" s="3" t="str">
        <f>CONCAT("Q","/",LEFT(Table2[[#This Row],[Quotation Type]],1),"/", LEFT(Table2[[#This Row],[Branch]],1),"/", RIGHT(YEAR(TODAY()),2), "/",Table2[[#This Row],[Seq. Number]])</f>
        <v>Q/N/V/26/558</v>
      </c>
      <c r="F385" s="3" t="str">
        <v>SSS</v>
      </c>
      <c r="G385" s="3" t="str">
        <v>Mango</v>
      </c>
      <c r="I385" s="3" t="str">
        <v>O/T</v>
      </c>
      <c r="J385" s="3" t="str">
        <v>SSS</v>
      </c>
    </row>
    <row r="386">
      <c r="A386" s="3">
        <v>45279</v>
      </c>
      <c r="B386" s="3" t="str">
        <v>R:Renewal</v>
      </c>
      <c r="C386" s="3" t="str">
        <v>H:Hull</v>
      </c>
      <c r="D386" s="3">
        <f>D385+1</f>
        <v>559</v>
      </c>
      <c r="E386" s="3" t="str">
        <f>CONCAT("Q","/",LEFT(Table2[[#This Row],[Quotation Type]],1),"/", LEFT(Table2[[#This Row],[Branch]],1),"/", RIGHT(YEAR(TODAY()),2), "/",Table2[[#This Row],[Seq. Number]])</f>
        <v>Q/R/H/26/559</v>
      </c>
      <c r="F386" s="3" t="str">
        <v>Smooth Waves</v>
      </c>
      <c r="G386" s="3" t="str">
        <v>MF Breeze</v>
      </c>
      <c r="H386" s="3">
        <v>8821577</v>
      </c>
      <c r="I386" s="3" t="str">
        <v>GC</v>
      </c>
      <c r="J386" s="3" t="str">
        <v>Direct</v>
      </c>
    </row>
    <row r="387">
      <c r="A387" s="3">
        <v>45279</v>
      </c>
      <c r="B387" s="3" t="str">
        <v>R:Renewal</v>
      </c>
      <c r="C387" s="3" t="str">
        <v>P:P&amp;I</v>
      </c>
      <c r="D387" s="3">
        <f>D386+1</f>
        <v>560</v>
      </c>
      <c r="E387" s="3" t="str">
        <f>CONCAT("Q","/",LEFT(Table2[[#This Row],[Quotation Type]],1),"/", LEFT(Table2[[#This Row],[Branch]],1),"/", RIGHT(YEAR(TODAY()),2), "/",Table2[[#This Row],[Seq. Number]])</f>
        <v>Q/R/P/26/560</v>
      </c>
      <c r="F387" s="3" t="str">
        <v>Smooth Waves</v>
      </c>
      <c r="G387" s="3" t="str">
        <v>MF Breeze</v>
      </c>
      <c r="H387" s="3">
        <v>8821577</v>
      </c>
      <c r="I387" s="3" t="str">
        <v>GC</v>
      </c>
      <c r="J387" s="3" t="str">
        <v>Direct</v>
      </c>
    </row>
    <row r="388">
      <c r="A388" s="3">
        <v>45280</v>
      </c>
      <c r="B388" s="3" t="str">
        <v>N:New Quotation</v>
      </c>
      <c r="C388" s="3" t="str">
        <v>H:Hull</v>
      </c>
      <c r="D388" s="3">
        <f>D387+1</f>
        <v>561</v>
      </c>
      <c r="E388" s="3" t="str">
        <f>CONCAT("Q","/",LEFT(Table2[[#This Row],[Quotation Type]],1),"/", LEFT(Table2[[#This Row],[Branch]],1),"/", RIGHT(YEAR(TODAY()),2), "/",Table2[[#This Row],[Seq. Number]])</f>
        <v>Q/N/H/26/561</v>
      </c>
      <c r="G388" s="3" t="str">
        <v>Eos Seafo</v>
      </c>
      <c r="I388" s="3" t="str">
        <v>Crew Boat</v>
      </c>
      <c r="J388" s="3" t="str">
        <v>IPIC</v>
      </c>
    </row>
    <row r="389">
      <c r="A389" s="3">
        <v>45281</v>
      </c>
      <c r="B389" s="3" t="str">
        <v>R:Renewal</v>
      </c>
      <c r="C389" s="3" t="str">
        <v>H:Hull</v>
      </c>
      <c r="D389" s="3">
        <f>D388+1</f>
        <v>562</v>
      </c>
      <c r="E389" s="3" t="str">
        <f>CONCAT("Q","/",LEFT(Table2[[#This Row],[Quotation Type]],1),"/", LEFT(Table2[[#This Row],[Branch]],1),"/", RIGHT(YEAR(TODAY()),2), "/",Table2[[#This Row],[Seq. Number]])</f>
        <v>Q/R/H/26/562</v>
      </c>
      <c r="F389" s="3" t="str">
        <v>Yamak Shipping</v>
      </c>
      <c r="G389" s="3" t="str">
        <v>Hassan-Y</v>
      </c>
      <c r="J389" s="3" t="str">
        <v>Direct</v>
      </c>
    </row>
    <row r="390">
      <c r="A390" s="3">
        <v>45281</v>
      </c>
      <c r="B390" s="3" t="str">
        <v>R:Renewal</v>
      </c>
      <c r="C390" s="3" t="str">
        <v>P:P&amp;I</v>
      </c>
      <c r="D390" s="3">
        <f>D389+1</f>
        <v>563</v>
      </c>
      <c r="E390" s="3" t="str">
        <f>CONCAT("Q","/",LEFT(Table2[[#This Row],[Quotation Type]],1),"/", LEFT(Table2[[#This Row],[Branch]],1),"/", RIGHT(YEAR(TODAY()),2), "/",Table2[[#This Row],[Seq. Number]])</f>
        <v>Q/R/P/26/563</v>
      </c>
      <c r="F390" s="3" t="str">
        <v>Yamak Shipping</v>
      </c>
      <c r="G390" s="3" t="str">
        <v>Hassan-Y</v>
      </c>
      <c r="J390" s="3" t="str">
        <v>Direct</v>
      </c>
    </row>
    <row r="391">
      <c r="A391" s="3">
        <v>45287</v>
      </c>
      <c r="B391" s="3" t="str">
        <v>N:New Quotation</v>
      </c>
      <c r="C391" s="3" t="str">
        <v>H:Hull</v>
      </c>
      <c r="D391" s="3">
        <f>D390+1</f>
        <v>564</v>
      </c>
      <c r="E391" s="3" t="str">
        <f>CONCAT("Q","/",LEFT(Table2[[#This Row],[Quotation Type]],1),"/", LEFT(Table2[[#This Row],[Branch]],1),"/", RIGHT(YEAR(TODAY()),2), "/",Table2[[#This Row],[Seq. Number]])</f>
        <v>Q/N/H/26/564</v>
      </c>
      <c r="G391" s="3" t="str">
        <v>Mistral</v>
      </c>
      <c r="I391" s="3" t="str">
        <v>O/T</v>
      </c>
      <c r="J391" s="3" t="str">
        <v>Kuzey</v>
      </c>
    </row>
    <row r="392">
      <c r="A392" s="3">
        <v>45287</v>
      </c>
      <c r="B392" s="3" t="str">
        <v>N:New Quotation</v>
      </c>
      <c r="C392" s="3" t="str">
        <v>H:Hull</v>
      </c>
      <c r="D392" s="3">
        <f>D391+1</f>
        <v>565</v>
      </c>
      <c r="E392" s="3" t="str">
        <f>CONCAT("Q","/",LEFT(Table2[[#This Row],[Quotation Type]],1),"/", LEFT(Table2[[#This Row],[Branch]],1),"/", RIGHT(YEAR(TODAY()),2), "/",Table2[[#This Row],[Seq. Number]])</f>
        <v>Q/N/H/26/565</v>
      </c>
      <c r="F392" s="3" t="str">
        <v>Erol Ship Management</v>
      </c>
      <c r="G392" s="3" t="str">
        <v>Barla</v>
      </c>
      <c r="H392" s="3">
        <v>7720439</v>
      </c>
      <c r="I392" s="3" t="str">
        <v>GC</v>
      </c>
      <c r="J392" s="3" t="str">
        <v>Kuzey</v>
      </c>
    </row>
    <row r="393">
      <c r="A393" s="3">
        <v>45287</v>
      </c>
      <c r="B393" s="3" t="str">
        <v>N:New Quotation</v>
      </c>
      <c r="C393" s="3" t="str">
        <v>H:Hull</v>
      </c>
      <c r="D393" s="3">
        <f>D392+1</f>
        <v>566</v>
      </c>
      <c r="E393" s="3" t="str">
        <f>CONCAT("Q","/",LEFT(Table2[[#This Row],[Quotation Type]],1),"/", LEFT(Table2[[#This Row],[Branch]],1),"/", RIGHT(YEAR(TODAY()),2), "/",Table2[[#This Row],[Seq. Number]])</f>
        <v>Q/N/H/26/566</v>
      </c>
      <c r="F393" s="3" t="str">
        <v>Fortuna Gemi</v>
      </c>
      <c r="G393" s="3" t="str">
        <v>Amo Grande</v>
      </c>
      <c r="H393" s="3">
        <v>9262364</v>
      </c>
      <c r="I393" s="3" t="str">
        <v>BC</v>
      </c>
      <c r="J393" s="3" t="str">
        <v>Kuzey</v>
      </c>
    </row>
    <row r="394">
      <c r="A394" s="3">
        <v>45287</v>
      </c>
      <c r="B394" s="3" t="str">
        <v>N:New Quotation</v>
      </c>
      <c r="C394" s="3" t="str">
        <v>P:P&amp;I</v>
      </c>
      <c r="D394" s="3">
        <f>D393+1</f>
        <v>567</v>
      </c>
      <c r="E394" s="3" t="str">
        <f>CONCAT("Q","/",LEFT(Table2[[#This Row],[Quotation Type]],1),"/", LEFT(Table2[[#This Row],[Branch]],1),"/", RIGHT(YEAR(TODAY()),2), "/",Table2[[#This Row],[Seq. Number]])</f>
        <v>Q/N/P/26/567</v>
      </c>
      <c r="G394" s="3" t="str">
        <v>Anubis</v>
      </c>
      <c r="I394" s="3" t="str">
        <v>GC</v>
      </c>
      <c r="J394" s="3" t="str">
        <v>Kuzey</v>
      </c>
    </row>
    <row r="395">
      <c r="A395" s="3">
        <v>45287</v>
      </c>
      <c r="B395" s="3" t="str">
        <v>N:New Quotation</v>
      </c>
      <c r="C395" s="3" t="str">
        <v>P:P&amp;I</v>
      </c>
      <c r="D395" s="3">
        <f>D394+1</f>
        <v>568</v>
      </c>
      <c r="E395" s="3" t="str">
        <f>CONCAT("Q","/",LEFT(Table2[[#This Row],[Quotation Type]],1),"/", LEFT(Table2[[#This Row],[Branch]],1),"/", RIGHT(YEAR(TODAY()),2), "/",Table2[[#This Row],[Seq. Number]])</f>
        <v>Q/N/P/26/568</v>
      </c>
      <c r="G395" s="3" t="str">
        <v>Lutuf</v>
      </c>
      <c r="I395" s="3" t="str">
        <v>GC</v>
      </c>
      <c r="J395" s="3" t="str">
        <v>Kuzey</v>
      </c>
    </row>
    <row r="396">
      <c r="A396" s="3">
        <v>45287</v>
      </c>
      <c r="B396" s="3" t="str">
        <v>N:New Quotation</v>
      </c>
      <c r="C396" s="3" t="str">
        <v>H:Hull</v>
      </c>
      <c r="D396" s="3">
        <f>D395+1</f>
        <v>569</v>
      </c>
      <c r="E396" s="3" t="str">
        <f>CONCAT("Q","/",LEFT(Table2[[#This Row],[Quotation Type]],1),"/", LEFT(Table2[[#This Row],[Branch]],1),"/", RIGHT(YEAR(TODAY()),2), "/",Table2[[#This Row],[Seq. Number]])</f>
        <v>Q/N/H/26/569</v>
      </c>
      <c r="G396" s="3" t="str">
        <v>Anubis</v>
      </c>
      <c r="I396" s="3" t="str">
        <v>GC</v>
      </c>
      <c r="J396" s="3" t="str">
        <v>Kuzey</v>
      </c>
    </row>
    <row r="397">
      <c r="A397" s="3">
        <v>45287</v>
      </c>
      <c r="B397" s="3" t="str">
        <v>R:Renewal</v>
      </c>
      <c r="C397" s="3" t="str">
        <v>H:Hull</v>
      </c>
      <c r="D397" s="3">
        <f>D396+1</f>
        <v>570</v>
      </c>
      <c r="E397" s="3" t="str">
        <f>CONCAT("Q","/",LEFT(Table2[[#This Row],[Quotation Type]],1),"/", LEFT(Table2[[#This Row],[Branch]],1),"/", RIGHT(YEAR(TODAY()),2), "/",Table2[[#This Row],[Seq. Number]])</f>
        <v>Q/R/H/26/570</v>
      </c>
      <c r="G397" s="3" t="str">
        <v>Lady D</v>
      </c>
      <c r="I397" s="3" t="str">
        <v>GC</v>
      </c>
      <c r="J397" s="3" t="str">
        <v>Direct</v>
      </c>
    </row>
    <row r="398">
      <c r="A398" s="3">
        <v>45288</v>
      </c>
      <c r="B398" s="3" t="str">
        <v>A:Addition</v>
      </c>
      <c r="C398" s="3" t="str">
        <v>H:Hull</v>
      </c>
      <c r="D398" s="3">
        <f>D397+1</f>
        <v>571</v>
      </c>
      <c r="E398" s="3" t="str">
        <f>CONCAT("Q","/",LEFT(Table2[[#This Row],[Quotation Type]],1),"/", LEFT(Table2[[#This Row],[Branch]],1),"/", RIGHT(YEAR(TODAY()),2), "/",Table2[[#This Row],[Seq. Number]])</f>
        <v>Q/A/H/26/571</v>
      </c>
      <c r="F398" s="3" t="str">
        <v>MN Shipping</v>
      </c>
      <c r="G398" s="3" t="str">
        <v>MN Kostas</v>
      </c>
      <c r="H398" s="3">
        <v>9103489</v>
      </c>
      <c r="I398" s="3" t="str">
        <v>GC</v>
      </c>
      <c r="J398" s="3" t="str">
        <v>SSS</v>
      </c>
    </row>
    <row r="399">
      <c r="A399" s="3">
        <v>45288</v>
      </c>
      <c r="B399" s="3" t="str">
        <v>N:New Quotation</v>
      </c>
      <c r="C399" s="3" t="str">
        <v>V:Voyage</v>
      </c>
      <c r="D399" s="3">
        <f>D398+1</f>
        <v>572</v>
      </c>
      <c r="E399" s="3" t="str">
        <f>CONCAT("Q","/",LEFT(Table2[[#This Row],[Quotation Type]],1),"/", LEFT(Table2[[#This Row],[Branch]],1),"/", RIGHT(YEAR(TODAY()),2), "/",Table2[[#This Row],[Seq. Number]])</f>
        <v>Q/N/V/26/572</v>
      </c>
      <c r="G399" s="3" t="str">
        <v>Vamos</v>
      </c>
      <c r="I399" s="3" t="str">
        <v>GC</v>
      </c>
      <c r="J399" s="3" t="str">
        <v>Direct</v>
      </c>
    </row>
    <row r="400">
      <c r="A400" s="3">
        <v>45288</v>
      </c>
      <c r="B400" s="3" t="str">
        <v>N:New Quotation</v>
      </c>
      <c r="C400" s="3" t="str">
        <v>P:P&amp;I</v>
      </c>
      <c r="D400" s="3">
        <f>D399+1</f>
        <v>573</v>
      </c>
      <c r="E400" s="3" t="str">
        <f>CONCAT("Q","/",LEFT(Table2[[#This Row],[Quotation Type]],1),"/", LEFT(Table2[[#This Row],[Branch]],1),"/", RIGHT(YEAR(TODAY()),2), "/",Table2[[#This Row],[Seq. Number]])</f>
        <v>Q/N/P/26/573</v>
      </c>
      <c r="F400" s="3" t="str">
        <v>Fortuna Gemi</v>
      </c>
      <c r="G400" s="3" t="str">
        <v>Amo Grande</v>
      </c>
      <c r="H400" s="3">
        <v>9262364</v>
      </c>
      <c r="I400" s="3" t="str">
        <v>BC</v>
      </c>
      <c r="J400" s="3" t="str">
        <v>Kuzey</v>
      </c>
    </row>
    <row r="401">
      <c r="A401" s="3">
        <v>45288</v>
      </c>
      <c r="B401" s="3" t="str">
        <v>N:New Quotation</v>
      </c>
      <c r="C401" s="3" t="str">
        <v>H:Hull</v>
      </c>
      <c r="D401" s="3">
        <f>D400+1</f>
        <v>574</v>
      </c>
      <c r="E401" s="3" t="str">
        <f>CONCAT("Q","/",LEFT(Table2[[#This Row],[Quotation Type]],1),"/", LEFT(Table2[[#This Row],[Branch]],1),"/", RIGHT(YEAR(TODAY()),2), "/",Table2[[#This Row],[Seq. Number]])</f>
        <v>Q/N/H/26/574</v>
      </c>
      <c r="G401" s="3" t="str">
        <v>Lady Sarah</v>
      </c>
      <c r="I401" s="3" t="str">
        <v>O/T</v>
      </c>
      <c r="J401" s="3" t="str">
        <v>Newberry</v>
      </c>
    </row>
    <row r="402">
      <c r="A402" s="3">
        <v>45288</v>
      </c>
      <c r="B402" s="3" t="str">
        <v>N:New Quotation</v>
      </c>
      <c r="C402" s="3" t="str">
        <v>H:Hull</v>
      </c>
      <c r="D402" s="3">
        <f>D401+1</f>
        <v>575</v>
      </c>
      <c r="E402" s="3" t="str">
        <f>CONCAT("Q","/",LEFT(Table2[[#This Row],[Quotation Type]],1),"/", LEFT(Table2[[#This Row],[Branch]],1),"/", RIGHT(YEAR(TODAY()),2), "/",Table2[[#This Row],[Seq. Number]])</f>
        <v>Q/N/H/26/575</v>
      </c>
      <c r="G402" s="3" t="str">
        <v>Sea of Waves</v>
      </c>
      <c r="I402" s="3" t="str">
        <v>O/T</v>
      </c>
      <c r="J402" s="3" t="str">
        <v>Newberry</v>
      </c>
    </row>
    <row r="403">
      <c r="A403" s="3">
        <v>45288</v>
      </c>
      <c r="B403" s="3" t="str">
        <v>N:New Quotation</v>
      </c>
      <c r="C403" s="3" t="str">
        <v>P:P&amp;I</v>
      </c>
      <c r="D403" s="3">
        <f>D402+1</f>
        <v>576</v>
      </c>
      <c r="E403" s="3" t="str">
        <f>CONCAT("Q","/",LEFT(Table2[[#This Row],[Quotation Type]],1),"/", LEFT(Table2[[#This Row],[Branch]],1),"/", RIGHT(YEAR(TODAY()),2), "/",Table2[[#This Row],[Seq. Number]])</f>
        <v>Q/N/P/26/576</v>
      </c>
      <c r="G403" s="3" t="str">
        <v>Sea of Waves</v>
      </c>
      <c r="I403" s="3" t="str">
        <v>O/T</v>
      </c>
      <c r="J403" s="3" t="str">
        <v>Newberry</v>
      </c>
    </row>
    <row r="404">
      <c r="A404" s="3">
        <v>45293</v>
      </c>
      <c r="B404" s="3" t="str">
        <v>R:Renewal</v>
      </c>
      <c r="C404" s="3" t="str">
        <v>H:Hull</v>
      </c>
      <c r="D404" s="3">
        <f>D403+1</f>
        <v>577</v>
      </c>
      <c r="E404" s="3" t="str">
        <f>CONCAT("Q","/",LEFT(Table2[[#This Row],[Quotation Type]],1),"/", LEFT(Table2[[#This Row],[Branch]],1),"/", RIGHT(YEAR(TODAY()),2), "/",Table2[[#This Row],[Seq. Number]])</f>
        <v>Q/R/H/26/577</v>
      </c>
      <c r="F404" s="3" t="str">
        <v>Bassam Affasha</v>
      </c>
      <c r="G404" s="3" t="str">
        <v>Al Marfa 104</v>
      </c>
      <c r="I404" s="3" t="str">
        <v>Crew Boat</v>
      </c>
      <c r="J404" s="3" t="str">
        <v>Direct</v>
      </c>
    </row>
    <row r="405">
      <c r="A405" s="3">
        <v>45293</v>
      </c>
      <c r="B405" s="3" t="str">
        <v>R:Renewal</v>
      </c>
      <c r="C405" s="3" t="str">
        <v>P:P&amp;I</v>
      </c>
      <c r="D405" s="3">
        <f>D404+1</f>
        <v>578</v>
      </c>
      <c r="E405" s="3" t="str">
        <f>CONCAT("Q","/",LEFT(Table2[[#This Row],[Quotation Type]],1),"/", LEFT(Table2[[#This Row],[Branch]],1),"/", RIGHT(YEAR(TODAY()),2), "/",Table2[[#This Row],[Seq. Number]])</f>
        <v>Q/R/P/26/578</v>
      </c>
      <c r="F405" s="3" t="str">
        <v>Bassam Affasha</v>
      </c>
      <c r="G405" s="3" t="str">
        <v>Al Marfa 104</v>
      </c>
      <c r="I405" s="3" t="str">
        <v>Crew Boat</v>
      </c>
      <c r="J405" s="3" t="str">
        <v>Direct</v>
      </c>
    </row>
    <row r="406">
      <c r="A406" s="3">
        <v>45293</v>
      </c>
      <c r="B406" s="3" t="str">
        <v>R:Renewal</v>
      </c>
      <c r="C406" s="3" t="str">
        <v>H:Hull</v>
      </c>
      <c r="D406" s="3">
        <f>D405+1</f>
        <v>579</v>
      </c>
      <c r="E406" s="3" t="str">
        <f>CONCAT("Q","/",LEFT(Table2[[#This Row],[Quotation Type]],1),"/", LEFT(Table2[[#This Row],[Branch]],1),"/", RIGHT(YEAR(TODAY()),2), "/",Table2[[#This Row],[Seq. Number]])</f>
        <v>Q/R/H/26/579</v>
      </c>
      <c r="F406" s="3" t="str">
        <v>SSS</v>
      </c>
      <c r="G406" s="3" t="str">
        <v>Lady Joy</v>
      </c>
      <c r="I406" s="3" t="str">
        <v>GC</v>
      </c>
      <c r="J406" s="3" t="str">
        <v>SSS</v>
      </c>
    </row>
    <row r="407">
      <c r="A407" s="3">
        <v>45293</v>
      </c>
      <c r="B407" s="3" t="str">
        <v>R:Renewal</v>
      </c>
      <c r="C407" s="3" t="str">
        <v>H:Hull</v>
      </c>
      <c r="D407" s="3">
        <f>D406+1</f>
        <v>580</v>
      </c>
      <c r="E407" s="3" t="str">
        <f>CONCAT("Q","/",LEFT(Table2[[#This Row],[Quotation Type]],1),"/", LEFT(Table2[[#This Row],[Branch]],1),"/", RIGHT(YEAR(TODAY()),2), "/",Table2[[#This Row],[Seq. Number]])</f>
        <v>Q/R/H/26/580</v>
      </c>
      <c r="F407" s="3" t="str">
        <v>Yamak Shipping</v>
      </c>
      <c r="G407" s="3" t="str">
        <v>Taha-Y</v>
      </c>
      <c r="I407" s="3" t="str">
        <v>GC</v>
      </c>
      <c r="J407" s="3" t="str">
        <v>Direct</v>
      </c>
    </row>
    <row r="408">
      <c r="A408" s="3">
        <v>45293</v>
      </c>
      <c r="B408" s="3" t="str">
        <v>R:Renewal</v>
      </c>
      <c r="C408" s="3" t="str">
        <v>H:Hull</v>
      </c>
      <c r="D408" s="3">
        <f>D407+1</f>
        <v>581</v>
      </c>
      <c r="E408" s="3" t="str">
        <f>CONCAT("Q","/",LEFT(Table2[[#This Row],[Quotation Type]],1),"/", LEFT(Table2[[#This Row],[Branch]],1),"/", RIGHT(YEAR(TODAY()),2), "/",Table2[[#This Row],[Seq. Number]])</f>
        <v>Q/R/H/26/581</v>
      </c>
      <c r="F408" s="3" t="str">
        <v>Yamak Shipping</v>
      </c>
      <c r="G408" s="3" t="str">
        <v>Super Sarkas</v>
      </c>
      <c r="I408" s="3" t="str">
        <v>GC</v>
      </c>
      <c r="J408" s="3" t="str">
        <v>Direct</v>
      </c>
    </row>
    <row r="409">
      <c r="A409" s="3">
        <v>45293</v>
      </c>
      <c r="B409" s="3" t="str">
        <v>N:New Quotation</v>
      </c>
      <c r="C409" s="3" t="str">
        <v>H:Hull</v>
      </c>
      <c r="D409" s="3">
        <f>D408+1</f>
        <v>582</v>
      </c>
      <c r="E409" s="3" t="str">
        <f>CONCAT("Q","/",LEFT(Table2[[#This Row],[Quotation Type]],1),"/", LEFT(Table2[[#This Row],[Branch]],1),"/", RIGHT(YEAR(TODAY()),2), "/",Table2[[#This Row],[Seq. Number]])</f>
        <v>Q/N/H/26/582</v>
      </c>
      <c r="G409" s="3" t="str">
        <v>Mistral</v>
      </c>
      <c r="I409" s="3" t="str">
        <v>O/T</v>
      </c>
      <c r="J409" s="3" t="str">
        <v>IPIC</v>
      </c>
    </row>
    <row r="410">
      <c r="A410" s="3">
        <v>45294</v>
      </c>
      <c r="B410" s="3" t="str">
        <v>R:Renewal</v>
      </c>
      <c r="C410" s="3" t="str">
        <v>H:Hull</v>
      </c>
      <c r="D410" s="3">
        <f>D409+1</f>
        <v>583</v>
      </c>
      <c r="E410" s="3" t="str">
        <f>CONCAT("Q","/",LEFT(Table2[[#This Row],[Quotation Type]],1),"/", LEFT(Table2[[#This Row],[Branch]],1),"/", RIGHT(YEAR(TODAY()),2), "/",Table2[[#This Row],[Seq. Number]])</f>
        <v>Q/R/H/26/583</v>
      </c>
      <c r="F410" s="3" t="str">
        <v>Unifleet</v>
      </c>
      <c r="G410" s="3" t="str">
        <v>Mak 1</v>
      </c>
      <c r="I410" s="3" t="str">
        <v>BC</v>
      </c>
      <c r="J410" s="3" t="str">
        <v>Sarnia</v>
      </c>
    </row>
    <row r="411">
      <c r="A411" s="3">
        <v>45294</v>
      </c>
      <c r="B411" s="3" t="str">
        <v>R:Renewal</v>
      </c>
      <c r="C411" s="3" t="str">
        <v>W:War</v>
      </c>
      <c r="D411" s="3">
        <f>D410+1</f>
        <v>584</v>
      </c>
      <c r="E411" s="3" t="str">
        <f>CONCAT("Q","/",LEFT(Table2[[#This Row],[Quotation Type]],1),"/", LEFT(Table2[[#This Row],[Branch]],1),"/", RIGHT(YEAR(TODAY()),2), "/",Table2[[#This Row],[Seq. Number]])</f>
        <v>Q/R/W/26/584</v>
      </c>
      <c r="F411" s="3" t="str">
        <v>Unifleet</v>
      </c>
      <c r="G411" s="3" t="str">
        <v>Mak 1</v>
      </c>
      <c r="I411" s="3" t="str">
        <v>BC</v>
      </c>
      <c r="J411" s="3" t="str">
        <v>Sarnia</v>
      </c>
    </row>
    <row r="412">
      <c r="A412" s="3">
        <v>45294</v>
      </c>
      <c r="B412" s="3" t="str">
        <v>R:Renewal</v>
      </c>
      <c r="C412" s="3" t="str">
        <v>H:Hull</v>
      </c>
      <c r="D412" s="3">
        <f>D411+1</f>
        <v>585</v>
      </c>
      <c r="E412" s="3" t="str">
        <f>CONCAT("Q","/",LEFT(Table2[[#This Row],[Quotation Type]],1),"/", LEFT(Table2[[#This Row],[Branch]],1),"/", RIGHT(YEAR(TODAY()),2), "/",Table2[[#This Row],[Seq. Number]])</f>
        <v>Q/R/H/26/585</v>
      </c>
      <c r="F412" s="3" t="str">
        <v>Prelude</v>
      </c>
      <c r="I412" s="3" t="str">
        <v>BC</v>
      </c>
      <c r="J412" s="3" t="str">
        <v>Sarnia</v>
      </c>
    </row>
    <row r="413">
      <c r="A413" s="3">
        <v>45294</v>
      </c>
      <c r="B413" s="3" t="str">
        <v>R:Renewal</v>
      </c>
      <c r="C413" s="3" t="str">
        <v>W:War</v>
      </c>
      <c r="D413" s="3">
        <f>D412+1</f>
        <v>586</v>
      </c>
      <c r="E413" s="3" t="str">
        <f>CONCAT("Q","/",LEFT(Table2[[#This Row],[Quotation Type]],1),"/", LEFT(Table2[[#This Row],[Branch]],1),"/", RIGHT(YEAR(TODAY()),2), "/",Table2[[#This Row],[Seq. Number]])</f>
        <v>Q/R/W/26/586</v>
      </c>
      <c r="F413" s="3" t="str">
        <v>Prelude</v>
      </c>
      <c r="I413" s="3" t="str">
        <v>BC</v>
      </c>
      <c r="J413" s="3" t="str">
        <v>Sarnia</v>
      </c>
    </row>
    <row r="414">
      <c r="A414" s="3">
        <v>45296</v>
      </c>
      <c r="B414" s="3" t="str">
        <v>R:Renewal</v>
      </c>
      <c r="C414" s="3" t="str">
        <v>P:P&amp;I</v>
      </c>
      <c r="D414" s="3">
        <f>D413+1</f>
        <v>587</v>
      </c>
      <c r="E414" s="3" t="str">
        <f>CONCAT("Q","/",LEFT(Table2[[#This Row],[Quotation Type]],1),"/", LEFT(Table2[[#This Row],[Branch]],1),"/", RIGHT(YEAR(TODAY()),2), "/",Table2[[#This Row],[Seq. Number]])</f>
        <v>Q/R/P/26/587</v>
      </c>
      <c r="F414" s="3" t="str">
        <v>Spirdon</v>
      </c>
      <c r="G414" s="3" t="str">
        <v>Nina M</v>
      </c>
      <c r="I414" s="3" t="str">
        <v>GC</v>
      </c>
      <c r="J414" s="3" t="str">
        <v>Direct</v>
      </c>
    </row>
    <row r="415">
      <c r="A415" s="3">
        <v>45296</v>
      </c>
      <c r="B415" s="3" t="str">
        <v>N:New Quotation</v>
      </c>
      <c r="C415" s="3" t="str">
        <v>H:Hull</v>
      </c>
      <c r="D415" s="3">
        <f>D414+1</f>
        <v>588</v>
      </c>
      <c r="E415" s="3" t="str">
        <f>CONCAT("Q","/",LEFT(Table2[[#This Row],[Quotation Type]],1),"/", LEFT(Table2[[#This Row],[Branch]],1),"/", RIGHT(YEAR(TODAY()),2), "/",Table2[[#This Row],[Seq. Number]])</f>
        <v>Q/N/H/26/588</v>
      </c>
      <c r="F415" s="3" t="str">
        <v>Millwall</v>
      </c>
      <c r="G415" s="3" t="str">
        <v>Maya S</v>
      </c>
      <c r="I415" s="3" t="str">
        <v>GC</v>
      </c>
      <c r="J415" s="3" t="str">
        <v>Fouad Al Mahmoud</v>
      </c>
    </row>
    <row r="416">
      <c r="A416" s="3">
        <v>45296</v>
      </c>
      <c r="B416" s="3" t="str">
        <v>N:New Quotation</v>
      </c>
      <c r="C416" s="3" t="str">
        <v>P:P&amp;I</v>
      </c>
      <c r="D416" s="3">
        <f>D415+1</f>
        <v>589</v>
      </c>
      <c r="E416" s="3" t="str">
        <f>CONCAT("Q","/",LEFT(Table2[[#This Row],[Quotation Type]],1),"/", LEFT(Table2[[#This Row],[Branch]],1),"/", RIGHT(YEAR(TODAY()),2), "/",Table2[[#This Row],[Seq. Number]])</f>
        <v>Q/N/P/26/589</v>
      </c>
      <c r="F416" s="3" t="str">
        <v>Millwall</v>
      </c>
      <c r="G416" s="3" t="str">
        <v>Maya S</v>
      </c>
      <c r="I416" s="3" t="str">
        <v>GC</v>
      </c>
      <c r="J416" s="3" t="str">
        <v>Fouad Al Mahmoud</v>
      </c>
    </row>
    <row r="417">
      <c r="A417" s="3">
        <v>45296</v>
      </c>
      <c r="B417" s="3" t="str">
        <v>N:New Quotation</v>
      </c>
      <c r="C417" s="3" t="str">
        <v>P:P&amp;I</v>
      </c>
      <c r="D417" s="3">
        <f>D416+1</f>
        <v>590</v>
      </c>
      <c r="E417" s="3" t="str">
        <f>CONCAT("Q","/",LEFT(Table2[[#This Row],[Quotation Type]],1),"/", LEFT(Table2[[#This Row],[Branch]],1),"/", RIGHT(YEAR(TODAY()),2), "/",Table2[[#This Row],[Seq. Number]])</f>
        <v>Q/N/P/26/590</v>
      </c>
      <c r="G417" s="3" t="str">
        <v>Abalone-Ayana Sea-Jaohar H</v>
      </c>
      <c r="I417" s="3" t="str">
        <v>GC</v>
      </c>
      <c r="J417" s="3" t="str">
        <v>Profinsure</v>
      </c>
    </row>
    <row r="418">
      <c r="A418" s="3">
        <v>45299</v>
      </c>
      <c r="B418" s="3" t="str">
        <v>R:Renewal</v>
      </c>
      <c r="C418" s="3" t="str">
        <v>P:P&amp;I</v>
      </c>
      <c r="D418" s="3">
        <f>D417+1</f>
        <v>591</v>
      </c>
      <c r="E418" s="3" t="str">
        <f>CONCAT("Q","/",LEFT(Table2[[#This Row],[Quotation Type]],1),"/", LEFT(Table2[[#This Row],[Branch]],1),"/", RIGHT(YEAR(TODAY()),2), "/",Table2[[#This Row],[Seq. Number]])</f>
        <v>Q/R/P/26/591</v>
      </c>
      <c r="F418" s="3" t="str">
        <v>Ammoun Shipping</v>
      </c>
      <c r="G418" s="3" t="str">
        <v>Ghada A</v>
      </c>
      <c r="I418" s="3" t="str">
        <v>GC</v>
      </c>
      <c r="J418" s="3" t="str">
        <v>Direct</v>
      </c>
    </row>
    <row r="419">
      <c r="A419" s="3">
        <v>45300</v>
      </c>
      <c r="B419" s="3" t="str">
        <v>R:Renewal</v>
      </c>
      <c r="C419" s="3" t="str">
        <v>H:Hull</v>
      </c>
      <c r="D419" s="3">
        <f>D418+1</f>
        <v>592</v>
      </c>
      <c r="E419" s="3" t="str">
        <f>CONCAT("Q","/",LEFT(Table2[[#This Row],[Quotation Type]],1),"/", LEFT(Table2[[#This Row],[Branch]],1),"/", RIGHT(YEAR(TODAY()),2), "/",Table2[[#This Row],[Seq. Number]])</f>
        <v>Q/R/H/26/592</v>
      </c>
      <c r="F419" s="3" t="str">
        <v>Orient Marine</v>
      </c>
      <c r="G419" s="3" t="str">
        <v>Rider</v>
      </c>
      <c r="I419" s="3" t="str">
        <v>GC</v>
      </c>
      <c r="J419" s="3" t="str">
        <v>Direct</v>
      </c>
    </row>
    <row r="420">
      <c r="A420" s="3">
        <v>45300</v>
      </c>
      <c r="B420" s="3" t="str">
        <v>R:Renewal</v>
      </c>
      <c r="C420" s="3" t="str">
        <v>W:War</v>
      </c>
      <c r="D420" s="3">
        <f>D419+1</f>
        <v>593</v>
      </c>
      <c r="E420" s="3" t="str">
        <f>CONCAT("Q","/",LEFT(Table2[[#This Row],[Quotation Type]],1),"/", LEFT(Table2[[#This Row],[Branch]],1),"/", RIGHT(YEAR(TODAY()),2), "/",Table2[[#This Row],[Seq. Number]])</f>
        <v>Q/R/W/26/593</v>
      </c>
      <c r="F420" s="3" t="str">
        <v>Orient Marine</v>
      </c>
      <c r="G420" s="3" t="str">
        <v>Rider</v>
      </c>
      <c r="I420" s="3" t="str">
        <v>GC</v>
      </c>
      <c r="J420" s="3" t="str">
        <v>Direct</v>
      </c>
    </row>
    <row r="421">
      <c r="A421" s="3">
        <v>45302</v>
      </c>
      <c r="B421" s="3" t="str">
        <v>R:Renewal</v>
      </c>
      <c r="C421" s="3" t="str">
        <v>P:P&amp;I</v>
      </c>
      <c r="D421" s="3">
        <f>D420+1</f>
        <v>594</v>
      </c>
      <c r="E421" s="3" t="str">
        <f>CONCAT("Q","/",LEFT(Table2[[#This Row],[Quotation Type]],1),"/", LEFT(Table2[[#This Row],[Branch]],1),"/", RIGHT(YEAR(TODAY()),2), "/",Table2[[#This Row],[Seq. Number]])</f>
        <v>Q/R/P/26/594</v>
      </c>
      <c r="F421" s="3" t="str">
        <v>Mina Group</v>
      </c>
      <c r="I421" s="3" t="str">
        <v>GC</v>
      </c>
      <c r="J421" s="3" t="str">
        <v>Direct</v>
      </c>
    </row>
    <row r="422">
      <c r="A422" s="3">
        <v>45302</v>
      </c>
      <c r="B422" s="3" t="str">
        <v>R:Renewal</v>
      </c>
      <c r="C422" s="3" t="str">
        <v>P:P&amp;I</v>
      </c>
      <c r="D422" s="3">
        <f>D421+1</f>
        <v>595</v>
      </c>
      <c r="E422" s="3" t="str">
        <f>CONCAT("Q","/",LEFT(Table2[[#This Row],[Quotation Type]],1),"/", LEFT(Table2[[#This Row],[Branch]],1),"/", RIGHT(YEAR(TODAY()),2), "/",Table2[[#This Row],[Seq. Number]])</f>
        <v>Q/R/P/26/595</v>
      </c>
      <c r="F422" s="3" t="str">
        <v>Mina Group</v>
      </c>
      <c r="I422" s="3" t="str">
        <v>MLV</v>
      </c>
      <c r="J422" s="3" t="str">
        <v>Direct</v>
      </c>
    </row>
    <row r="423">
      <c r="A423" s="3">
        <v>45302</v>
      </c>
      <c r="B423" s="3" t="str">
        <v>R:Renewal</v>
      </c>
      <c r="C423" s="3" t="str">
        <v>H:Hull</v>
      </c>
      <c r="D423" s="3">
        <f>D422+1</f>
        <v>596</v>
      </c>
      <c r="E423" s="3" t="str">
        <f>CONCAT("Q","/",LEFT(Table2[[#This Row],[Quotation Type]],1),"/", LEFT(Table2[[#This Row],[Branch]],1),"/", RIGHT(YEAR(TODAY()),2), "/",Table2[[#This Row],[Seq. Number]])</f>
        <v>Q/R/H/26/596</v>
      </c>
      <c r="F423" s="3" t="str">
        <v>Mina Group</v>
      </c>
      <c r="I423" s="3" t="str">
        <v>MLV</v>
      </c>
      <c r="J423" s="3" t="str">
        <v>Direct</v>
      </c>
    </row>
    <row r="424">
      <c r="A424" s="3">
        <v>45302</v>
      </c>
      <c r="B424" s="3" t="str">
        <v>N:New Quotation</v>
      </c>
      <c r="C424" s="3" t="str">
        <v>H:Hull</v>
      </c>
      <c r="D424" s="3">
        <f>D423+1</f>
        <v>597</v>
      </c>
      <c r="E424" s="3" t="str">
        <f>CONCAT("Q","/",LEFT(Table2[[#This Row],[Quotation Type]],1),"/", LEFT(Table2[[#This Row],[Branch]],1),"/", RIGHT(YEAR(TODAY()),2), "/",Table2[[#This Row],[Seq. Number]])</f>
        <v>Q/N/H/26/597</v>
      </c>
      <c r="G424" s="3" t="str">
        <v>X-Press Shannon</v>
      </c>
      <c r="J424" s="3" t="str">
        <v>Kominsur</v>
      </c>
    </row>
    <row r="425">
      <c r="A425" s="3">
        <v>45302</v>
      </c>
      <c r="B425" s="3" t="str">
        <v>R:Renewal</v>
      </c>
      <c r="C425" s="3" t="str">
        <v>H:Hull</v>
      </c>
      <c r="D425" s="3">
        <f>D424+1</f>
        <v>598</v>
      </c>
      <c r="E425" s="3" t="str">
        <f>CONCAT("Q","/",LEFT(Table2[[#This Row],[Quotation Type]],1),"/", LEFT(Table2[[#This Row],[Branch]],1),"/", RIGHT(YEAR(TODAY()),2), "/",Table2[[#This Row],[Seq. Number]])</f>
        <v>Q/R/H/26/598</v>
      </c>
      <c r="F425" s="3" t="str">
        <v>Cedar Marine Services</v>
      </c>
      <c r="G425" s="3" t="str">
        <v>New Paris</v>
      </c>
      <c r="J425" s="3" t="str">
        <v>Brandenburg</v>
      </c>
    </row>
    <row r="426">
      <c r="A426" s="3">
        <v>45302</v>
      </c>
      <c r="B426" s="3" t="str">
        <v>N:New Quotation</v>
      </c>
      <c r="C426" s="3" t="str">
        <v>H:Hull</v>
      </c>
      <c r="D426" s="3">
        <f>D425+1</f>
        <v>599</v>
      </c>
      <c r="E426" s="3" t="str">
        <f>CONCAT("Q","/",LEFT(Table2[[#This Row],[Quotation Type]],1),"/", LEFT(Table2[[#This Row],[Branch]],1),"/", RIGHT(YEAR(TODAY()),2), "/",Table2[[#This Row],[Seq. Number]])</f>
        <v>Q/N/H/26/599</v>
      </c>
      <c r="G426" s="3" t="str">
        <v>Happy Forever</v>
      </c>
      <c r="I426" s="3" t="str">
        <v>BC</v>
      </c>
      <c r="J426" s="3" t="str">
        <v>City</v>
      </c>
    </row>
    <row r="427">
      <c r="A427" s="3">
        <v>45302</v>
      </c>
      <c r="B427" s="3" t="str">
        <v>R:Renewal</v>
      </c>
      <c r="C427" s="3" t="str">
        <v>H:Hull</v>
      </c>
      <c r="D427" s="3">
        <f>D426+1</f>
        <v>600</v>
      </c>
      <c r="E427" s="3" t="str">
        <f>CONCAT("Q","/",LEFT(Table2[[#This Row],[Quotation Type]],1),"/", LEFT(Table2[[#This Row],[Branch]],1),"/", RIGHT(YEAR(TODAY()),2), "/",Table2[[#This Row],[Seq. Number]])</f>
        <v>Q/R/H/26/600</v>
      </c>
      <c r="F427" s="3" t="str">
        <v>Cedar Marine Services</v>
      </c>
      <c r="G427" s="3" t="str">
        <v>Professor B</v>
      </c>
      <c r="I427" s="3" t="str">
        <v>GC</v>
      </c>
      <c r="J427" s="3" t="str">
        <v>Direct</v>
      </c>
    </row>
    <row r="428">
      <c r="A428" s="3">
        <v>45302</v>
      </c>
      <c r="B428" s="3" t="str">
        <v>R:Renewal</v>
      </c>
      <c r="C428" s="3" t="str">
        <v>P:P&amp;I</v>
      </c>
      <c r="D428" s="3">
        <f>D427+1</f>
        <v>601</v>
      </c>
      <c r="E428" s="3" t="str">
        <f>CONCAT("Q","/",LEFT(Table2[[#This Row],[Quotation Type]],1),"/", LEFT(Table2[[#This Row],[Branch]],1),"/", RIGHT(YEAR(TODAY()),2), "/",Table2[[#This Row],[Seq. Number]])</f>
        <v>Q/R/P/26/601</v>
      </c>
      <c r="F428" s="3" t="str">
        <v>Cedar Marine Services</v>
      </c>
      <c r="G428" s="3" t="str">
        <v>Professor B</v>
      </c>
      <c r="I428" s="3" t="str">
        <v>GC</v>
      </c>
      <c r="J428" s="3" t="str">
        <v>Direct</v>
      </c>
    </row>
    <row r="429">
      <c r="A429" s="3">
        <v>45302</v>
      </c>
      <c r="B429" s="3" t="str">
        <v>R:Renewal</v>
      </c>
      <c r="C429" s="3" t="str">
        <v>W:War</v>
      </c>
      <c r="D429" s="3">
        <f>D428+1</f>
        <v>602</v>
      </c>
      <c r="E429" s="3" t="str">
        <f>CONCAT("Q","/",LEFT(Table2[[#This Row],[Quotation Type]],1),"/", LEFT(Table2[[#This Row],[Branch]],1),"/", RIGHT(YEAR(TODAY()),2), "/",Table2[[#This Row],[Seq. Number]])</f>
        <v>Q/R/W/26/602</v>
      </c>
      <c r="F429" s="3" t="str">
        <v>Cedar Marine Services</v>
      </c>
      <c r="G429" s="3" t="str">
        <v>Professor B</v>
      </c>
      <c r="I429" s="3" t="str">
        <v>GC</v>
      </c>
      <c r="J429" s="3" t="str">
        <v>Direct</v>
      </c>
    </row>
    <row r="430">
      <c r="A430" s="3">
        <v>45306</v>
      </c>
      <c r="B430" s="3" t="str">
        <v>N:New Quotation</v>
      </c>
      <c r="C430" s="3" t="str">
        <v>H:Hull</v>
      </c>
      <c r="D430" s="3">
        <f>D429+1</f>
        <v>603</v>
      </c>
      <c r="E430" s="3" t="str">
        <f>CONCAT("Q","/",LEFT(Table2[[#This Row],[Quotation Type]],1),"/", LEFT(Table2[[#This Row],[Branch]],1),"/", RIGHT(YEAR(TODAY()),2), "/",Table2[[#This Row],[Seq. Number]])</f>
        <v>Q/N/H/26/603</v>
      </c>
      <c r="G430" s="3" t="str">
        <v>Anhona</v>
      </c>
      <c r="I430" s="3" t="str">
        <v>O/T</v>
      </c>
      <c r="J430" s="3" t="str">
        <v>Newberry</v>
      </c>
    </row>
    <row r="431">
      <c r="A431" s="3">
        <v>45306</v>
      </c>
      <c r="B431" s="3" t="str">
        <v>N:New Quotation</v>
      </c>
      <c r="C431" s="3" t="str">
        <v>H:Hull</v>
      </c>
      <c r="D431" s="3">
        <f>D430+1</f>
        <v>604</v>
      </c>
      <c r="E431" s="3" t="str">
        <f>CONCAT("Q","/",LEFT(Table2[[#This Row],[Quotation Type]],1),"/", LEFT(Table2[[#This Row],[Branch]],1),"/", RIGHT(YEAR(TODAY()),2), "/",Table2[[#This Row],[Seq. Number]])</f>
        <v>Q/N/H/26/604</v>
      </c>
      <c r="F431" s="3" t="str">
        <v>Seaart Ship Management</v>
      </c>
      <c r="I431" s="3" t="str">
        <v>O/T</v>
      </c>
      <c r="J431" s="3" t="str">
        <v>Newberry</v>
      </c>
    </row>
    <row r="432">
      <c r="A432" s="3">
        <v>45307</v>
      </c>
      <c r="B432" s="3" t="str">
        <v>A:Addition</v>
      </c>
      <c r="C432" s="3" t="str">
        <v>P:P&amp;I</v>
      </c>
      <c r="D432" s="3">
        <f>D431+1</f>
        <v>605</v>
      </c>
      <c r="E432" s="3" t="str">
        <f>CONCAT("Q","/",LEFT(Table2[[#This Row],[Quotation Type]],1),"/", LEFT(Table2[[#This Row],[Branch]],1),"/", RIGHT(YEAR(TODAY()),2), "/",Table2[[#This Row],[Seq. Number]])</f>
        <v>Q/A/P/26/605</v>
      </c>
      <c r="F432" s="3" t="str">
        <v>Mina Group</v>
      </c>
      <c r="G432" s="3" t="str">
        <v>AMK Marin-Olma</v>
      </c>
      <c r="I432" s="3" t="str">
        <v>GC</v>
      </c>
      <c r="J432" s="3" t="str">
        <v>Direct</v>
      </c>
    </row>
    <row r="433">
      <c r="A433" s="3">
        <v>45307</v>
      </c>
      <c r="B433" s="3" t="str">
        <v>N:New Quotation</v>
      </c>
      <c r="C433" s="3" t="str">
        <v>P:P&amp;I</v>
      </c>
      <c r="D433" s="3">
        <f>D432+1</f>
        <v>606</v>
      </c>
      <c r="E433" s="3" t="str">
        <f>CONCAT("Q","/",LEFT(Table2[[#This Row],[Quotation Type]],1),"/", LEFT(Table2[[#This Row],[Branch]],1),"/", RIGHT(YEAR(TODAY()),2), "/",Table2[[#This Row],[Seq. Number]])</f>
        <v>Q/N/P/26/606</v>
      </c>
      <c r="F433" s="3" t="str">
        <v>GMZ Shipmanagement</v>
      </c>
      <c r="G433" s="3" t="str">
        <v>AMK Marin-Olma</v>
      </c>
      <c r="I433" s="3" t="str">
        <v>GC</v>
      </c>
      <c r="J433" s="3" t="str">
        <v>Brandenburg</v>
      </c>
    </row>
    <row r="434">
      <c r="A434" s="3">
        <v>45306</v>
      </c>
      <c r="B434" s="3" t="str">
        <v>N:New Quotation</v>
      </c>
      <c r="C434" s="3" t="str">
        <v>W:War</v>
      </c>
      <c r="D434" s="3">
        <f>D433+1</f>
        <v>607</v>
      </c>
      <c r="E434" s="3" t="str">
        <f>CONCAT("Q","/",LEFT(Table2[[#This Row],[Quotation Type]],1),"/", LEFT(Table2[[#This Row],[Branch]],1),"/", RIGHT(YEAR(TODAY()),2), "/",Table2[[#This Row],[Seq. Number]])</f>
        <v>Q/N/W/26/607</v>
      </c>
      <c r="G434" s="3" t="str">
        <v>Anhona</v>
      </c>
      <c r="I434" s="3" t="str">
        <v>O/T</v>
      </c>
      <c r="J434" s="3" t="str">
        <v>Newberry</v>
      </c>
    </row>
    <row r="435">
      <c r="A435" s="3">
        <v>45309</v>
      </c>
      <c r="B435" s="3" t="str">
        <v>N:New Quotation</v>
      </c>
      <c r="C435" s="3" t="str">
        <v>H:Hull</v>
      </c>
      <c r="D435" s="3">
        <f>D434+1</f>
        <v>608</v>
      </c>
      <c r="E435" s="3" t="str">
        <f>CONCAT("Q","/",LEFT(Table2[[#This Row],[Quotation Type]],1),"/", LEFT(Table2[[#This Row],[Branch]],1),"/", RIGHT(YEAR(TODAY()),2), "/",Table2[[#This Row],[Seq. Number]])</f>
        <v>Q/N/H/26/608</v>
      </c>
      <c r="F435" s="3" t="str">
        <v>A&amp;W</v>
      </c>
      <c r="I435" s="3" t="str">
        <v>O/T</v>
      </c>
      <c r="J435" s="3" t="str">
        <v>Shady Saab</v>
      </c>
    </row>
    <row r="436">
      <c r="A436" s="3">
        <v>45309</v>
      </c>
      <c r="B436" s="3" t="str">
        <v>R:Renewal</v>
      </c>
      <c r="C436" s="3" t="str">
        <v>P:P&amp;I</v>
      </c>
      <c r="D436" s="3">
        <f>D435+1</f>
        <v>609</v>
      </c>
      <c r="E436" s="3" t="str">
        <f>CONCAT("Q","/",LEFT(Table2[[#This Row],[Quotation Type]],1),"/", LEFT(Table2[[#This Row],[Branch]],1),"/", RIGHT(YEAR(TODAY()),2), "/",Table2[[#This Row],[Seq. Number]])</f>
        <v>Q/R/P/26/609</v>
      </c>
      <c r="F436" s="3" t="str">
        <v>Atlantis Maritime</v>
      </c>
      <c r="J436" s="3" t="str">
        <v>Brandenburg</v>
      </c>
    </row>
    <row r="437">
      <c r="A437" s="3">
        <v>45309</v>
      </c>
      <c r="B437" s="3" t="str">
        <v>R:Renewal</v>
      </c>
      <c r="C437" s="3" t="str">
        <v>F:FD&amp;D</v>
      </c>
      <c r="D437" s="3">
        <f>D436+1</f>
        <v>610</v>
      </c>
      <c r="E437" s="3" t="str">
        <f>CONCAT("Q","/",LEFT(Table2[[#This Row],[Quotation Type]],1),"/", LEFT(Table2[[#This Row],[Branch]],1),"/", RIGHT(YEAR(TODAY()),2), "/",Table2[[#This Row],[Seq. Number]])</f>
        <v>Q/R/F/26/610</v>
      </c>
      <c r="F437" s="3" t="str">
        <v>Atlantis Maritime</v>
      </c>
      <c r="J437" s="3" t="str">
        <v>Brandenburg</v>
      </c>
    </row>
    <row r="438">
      <c r="A438" s="3">
        <v>45309</v>
      </c>
      <c r="B438" s="3" t="str">
        <v>N:New Quotation</v>
      </c>
      <c r="C438" s="3" t="str">
        <v>P:P&amp;I</v>
      </c>
      <c r="D438" s="3">
        <f>D437+1</f>
        <v>611</v>
      </c>
      <c r="E438" s="3" t="str">
        <f>CONCAT("Q","/",LEFT(Table2[[#This Row],[Quotation Type]],1),"/", LEFT(Table2[[#This Row],[Branch]],1),"/", RIGHT(YEAR(TODAY()),2), "/",Table2[[#This Row],[Seq. Number]])</f>
        <v>Q/N/P/26/611</v>
      </c>
      <c r="F438" s="3" t="str">
        <v>Adnan Hassan Fleet</v>
      </c>
      <c r="G438" s="3" t="str">
        <v>Abalone-Ayana Sea-Jaohar H</v>
      </c>
      <c r="I438" s="3" t="str">
        <v>GC</v>
      </c>
      <c r="J438" s="3" t="str">
        <v>Kuzey</v>
      </c>
    </row>
    <row r="439">
      <c r="A439" s="3">
        <v>45310</v>
      </c>
      <c r="B439" s="3" t="str">
        <v>A:Addition</v>
      </c>
      <c r="C439" s="3" t="str">
        <v>H:Hull</v>
      </c>
      <c r="D439" s="3">
        <f>D438+1</f>
        <v>612</v>
      </c>
      <c r="E439" s="3" t="str">
        <f>CONCAT("Q","/",LEFT(Table2[[#This Row],[Quotation Type]],1),"/", LEFT(Table2[[#This Row],[Branch]],1),"/", RIGHT(YEAR(TODAY()),2), "/",Table2[[#This Row],[Seq. Number]])</f>
        <v>Q/A/H/26/612</v>
      </c>
      <c r="F439" s="3" t="str">
        <v>Blue Bay</v>
      </c>
      <c r="G439" s="3" t="str">
        <v>Amethyst</v>
      </c>
      <c r="I439" s="3" t="str">
        <v>GC</v>
      </c>
      <c r="J439" s="3" t="str">
        <v>Brandenburg</v>
      </c>
    </row>
    <row r="440">
      <c r="A440" s="3">
        <v>45313</v>
      </c>
      <c r="B440" s="3" t="str">
        <v>N:New Quotation</v>
      </c>
      <c r="C440" s="3" t="str">
        <v>H:Hull</v>
      </c>
      <c r="D440" s="3">
        <f>D439+1</f>
        <v>613</v>
      </c>
      <c r="E440" s="3" t="str">
        <f>CONCAT("Q","/",LEFT(Table2[[#This Row],[Quotation Type]],1),"/", LEFT(Table2[[#This Row],[Branch]],1),"/", RIGHT(YEAR(TODAY()),2), "/",Table2[[#This Row],[Seq. Number]])</f>
        <v>Q/N/H/26/613</v>
      </c>
      <c r="F440" s="3" t="str">
        <v>Unimar Shipping</v>
      </c>
      <c r="G440" s="3" t="str">
        <v>Clever</v>
      </c>
      <c r="I440" s="3" t="str">
        <v>GC</v>
      </c>
      <c r="J440" s="3" t="str">
        <v>Direct</v>
      </c>
    </row>
    <row r="441">
      <c r="A441" s="3">
        <v>45314</v>
      </c>
      <c r="B441" s="3" t="str">
        <v>N:New Quotation</v>
      </c>
      <c r="C441" s="3" t="str">
        <v>H:Hull</v>
      </c>
      <c r="D441" s="3">
        <f>D440+1</f>
        <v>614</v>
      </c>
      <c r="E441" s="3" t="str">
        <f>CONCAT("Q","/",LEFT(Table2[[#This Row],[Quotation Type]],1),"/", LEFT(Table2[[#This Row],[Branch]],1),"/", RIGHT(YEAR(TODAY()),2), "/",Table2[[#This Row],[Seq. Number]])</f>
        <v>Q/N/H/26/614</v>
      </c>
      <c r="F441" s="3" t="str">
        <v>Centrum Ship Management</v>
      </c>
      <c r="G441" s="3" t="str">
        <v>Bharat</v>
      </c>
      <c r="I441" s="3" t="str">
        <v>O/T</v>
      </c>
      <c r="J441" s="3" t="str">
        <v>Kominsur</v>
      </c>
    </row>
    <row r="442">
      <c r="A442" s="3">
        <v>45314</v>
      </c>
      <c r="B442" s="3" t="str">
        <v>R:Renewal</v>
      </c>
      <c r="C442" s="3" t="str">
        <v>H:Hull</v>
      </c>
      <c r="D442" s="3">
        <f>D441+1</f>
        <v>615</v>
      </c>
      <c r="E442" s="3" t="str">
        <f>CONCAT("Q","/",LEFT(Table2[[#This Row],[Quotation Type]],1),"/", LEFT(Table2[[#This Row],[Branch]],1),"/", RIGHT(YEAR(TODAY()),2), "/",Table2[[#This Row],[Seq. Number]])</f>
        <v>Q/R/H/26/615</v>
      </c>
      <c r="F442" s="3" t="str">
        <v>Al Mahmoud</v>
      </c>
      <c r="G442" s="3" t="str">
        <v>Pacific M</v>
      </c>
      <c r="I442" s="3" t="str">
        <v>MLV</v>
      </c>
      <c r="J442" s="3" t="str">
        <v>Direct</v>
      </c>
    </row>
    <row r="443">
      <c r="A443" s="3">
        <v>45314</v>
      </c>
      <c r="B443" s="3" t="str">
        <v>R:Renewal</v>
      </c>
      <c r="C443" s="3" t="str">
        <v>P:P&amp;I</v>
      </c>
      <c r="D443" s="3">
        <f>D442+1</f>
        <v>616</v>
      </c>
      <c r="E443" s="3" t="str">
        <f>CONCAT("Q","/",LEFT(Table2[[#This Row],[Quotation Type]],1),"/", LEFT(Table2[[#This Row],[Branch]],1),"/", RIGHT(YEAR(TODAY()),2), "/",Table2[[#This Row],[Seq. Number]])</f>
        <v>Q/R/P/26/616</v>
      </c>
      <c r="F443" s="3" t="str">
        <v>Al Mahmoud</v>
      </c>
      <c r="G443" s="3" t="str">
        <v>Pacific M</v>
      </c>
      <c r="I443" s="3" t="str">
        <v>MLV</v>
      </c>
      <c r="J443" s="3" t="str">
        <v>Direct</v>
      </c>
    </row>
    <row r="444">
      <c r="A444" s="3">
        <v>45316</v>
      </c>
      <c r="B444" s="3" t="str">
        <v>R:Renewal</v>
      </c>
      <c r="C444" s="3" t="str">
        <v>H:Hull</v>
      </c>
      <c r="D444" s="3">
        <f>D443+1</f>
        <v>617</v>
      </c>
      <c r="E444" s="3" t="str">
        <f>CONCAT("Q","/",LEFT(Table2[[#This Row],[Quotation Type]],1),"/", LEFT(Table2[[#This Row],[Branch]],1),"/", RIGHT(YEAR(TODAY()),2), "/",Table2[[#This Row],[Seq. Number]])</f>
        <v>Q/R/H/26/617</v>
      </c>
      <c r="F444" s="3" t="str">
        <v>Mobitrust</v>
      </c>
      <c r="G444" s="3" t="str">
        <v>Honest 1</v>
      </c>
      <c r="J444" s="3" t="str">
        <v>Mesco</v>
      </c>
    </row>
    <row r="445">
      <c r="A445" s="3">
        <v>45317</v>
      </c>
      <c r="B445" s="3" t="str">
        <v>R:Renewal</v>
      </c>
      <c r="C445" s="3" t="str">
        <v>H:Hull</v>
      </c>
      <c r="D445" s="3">
        <f>D444+1</f>
        <v>618</v>
      </c>
      <c r="E445" s="3" t="str">
        <f>CONCAT("Q","/",LEFT(Table2[[#This Row],[Quotation Type]],1),"/", LEFT(Table2[[#This Row],[Branch]],1),"/", RIGHT(YEAR(TODAY()),2), "/",Table2[[#This Row],[Seq. Number]])</f>
        <v>Q/R/H/26/618</v>
      </c>
      <c r="G445" s="3" t="str">
        <v>Karadenizcem</v>
      </c>
      <c r="I445" s="3" t="str">
        <v>Cement</v>
      </c>
      <c r="J445" s="3" t="str">
        <v>City</v>
      </c>
    </row>
    <row r="446">
      <c r="A446" s="3">
        <v>45317</v>
      </c>
      <c r="B446" s="3" t="str">
        <v>A:Addition</v>
      </c>
      <c r="C446" s="3" t="str">
        <v>H:Hull</v>
      </c>
      <c r="D446" s="3">
        <f>D445+1</f>
        <v>619</v>
      </c>
      <c r="E446" s="3" t="str">
        <f>CONCAT("Q","/",LEFT(Table2[[#This Row],[Quotation Type]],1),"/", LEFT(Table2[[#This Row],[Branch]],1),"/", RIGHT(YEAR(TODAY()),2), "/",Table2[[#This Row],[Seq. Number]])</f>
        <v>Q/A/H/26/619</v>
      </c>
      <c r="F446" s="3" t="str">
        <v>Regal Shipping</v>
      </c>
      <c r="G446" s="3" t="str">
        <v>Aida</v>
      </c>
      <c r="I446" s="3" t="str">
        <v>GC</v>
      </c>
      <c r="J446" s="3" t="str">
        <v>Brandenburg</v>
      </c>
    </row>
    <row r="447">
      <c r="A447" s="3">
        <v>45320</v>
      </c>
      <c r="B447" s="3" t="str">
        <v>N:New Quotation</v>
      </c>
      <c r="C447" s="3" t="str">
        <v>P:P&amp;I</v>
      </c>
      <c r="D447" s="3">
        <f>D446+1</f>
        <v>620</v>
      </c>
      <c r="E447" s="3" t="str">
        <f>CONCAT("Q","/",LEFT(Table2[[#This Row],[Quotation Type]],1),"/", LEFT(Table2[[#This Row],[Branch]],1),"/", RIGHT(YEAR(TODAY()),2), "/",Table2[[#This Row],[Seq. Number]])</f>
        <v>Q/N/P/26/620</v>
      </c>
      <c r="F447" s="3" t="str">
        <v>Darla Shipping</v>
      </c>
      <c r="G447" s="3" t="str">
        <v>Darla</v>
      </c>
      <c r="I447" s="3" t="str">
        <v>MLV</v>
      </c>
      <c r="J447" s="3" t="str">
        <v>Direct</v>
      </c>
    </row>
    <row r="448">
      <c r="A448" s="3">
        <v>45321</v>
      </c>
      <c r="B448" s="3" t="str">
        <v>N:New Quotation</v>
      </c>
      <c r="C448" s="3" t="str">
        <v>P:P&amp;I</v>
      </c>
      <c r="D448" s="3">
        <f>D447+1</f>
        <v>621</v>
      </c>
      <c r="E448" s="3" t="str">
        <f>CONCAT("Q","/",LEFT(Table2[[#This Row],[Quotation Type]],1),"/", LEFT(Table2[[#This Row],[Branch]],1),"/", RIGHT(YEAR(TODAY()),2), "/",Table2[[#This Row],[Seq. Number]])</f>
        <v>Q/N/P/26/621</v>
      </c>
      <c r="G448" s="3" t="str">
        <v>Frelon</v>
      </c>
      <c r="I448" s="3" t="str">
        <v>GC</v>
      </c>
      <c r="J448" s="3" t="str">
        <v>Kuzey</v>
      </c>
    </row>
    <row r="449">
      <c r="A449" s="3">
        <v>45322</v>
      </c>
      <c r="B449" s="3" t="str">
        <v>N:New Quotation</v>
      </c>
      <c r="C449" s="3" t="str">
        <v>H:Hull</v>
      </c>
      <c r="D449" s="3">
        <f>D448+1</f>
        <v>622</v>
      </c>
      <c r="E449" s="3" t="str">
        <f>CONCAT("Q","/",LEFT(Table2[[#This Row],[Quotation Type]],1),"/", LEFT(Table2[[#This Row],[Branch]],1),"/", RIGHT(YEAR(TODAY()),2), "/",Table2[[#This Row],[Seq. Number]])</f>
        <v>Q/N/H/26/622</v>
      </c>
      <c r="G449" s="3" t="str">
        <v>Mo Joud</v>
      </c>
      <c r="I449" s="3" t="str">
        <v>GC</v>
      </c>
      <c r="J449" s="3" t="str">
        <v>Direct</v>
      </c>
    </row>
    <row r="450">
      <c r="A450" s="3">
        <v>45322</v>
      </c>
      <c r="B450" s="3" t="str">
        <v>N:New Quotation</v>
      </c>
      <c r="C450" s="3" t="str">
        <v>P:P&amp;I</v>
      </c>
      <c r="D450" s="3">
        <f>D449+1</f>
        <v>623</v>
      </c>
      <c r="E450" s="3" t="str">
        <f>CONCAT("Q","/",LEFT(Table2[[#This Row],[Quotation Type]],1),"/", LEFT(Table2[[#This Row],[Branch]],1),"/", RIGHT(YEAR(TODAY()),2), "/",Table2[[#This Row],[Seq. Number]])</f>
        <v>Q/N/P/26/623</v>
      </c>
      <c r="G450" s="3" t="str">
        <v>Mo Joud</v>
      </c>
      <c r="I450" s="3" t="str">
        <v>GC</v>
      </c>
      <c r="J450" s="3" t="str">
        <v>Direct</v>
      </c>
    </row>
    <row r="451">
      <c r="A451" s="3">
        <v>45322</v>
      </c>
      <c r="B451" s="3" t="str">
        <v>N:New Quotation</v>
      </c>
      <c r="C451" s="3" t="str">
        <v>H:Hull</v>
      </c>
      <c r="D451" s="3">
        <f>D450+1</f>
        <v>624</v>
      </c>
      <c r="E451" s="3" t="str">
        <f>CONCAT("Q","/",LEFT(Table2[[#This Row],[Quotation Type]],1),"/", LEFT(Table2[[#This Row],[Branch]],1),"/", RIGHT(YEAR(TODAY()),2), "/",Table2[[#This Row],[Seq. Number]])</f>
        <v>Q/N/H/26/624</v>
      </c>
      <c r="G451" s="3" t="str">
        <v>Aroyat</v>
      </c>
      <c r="I451" s="3" t="str">
        <v>BC</v>
      </c>
      <c r="J451" s="3" t="str">
        <v>IPIC</v>
      </c>
    </row>
    <row r="452">
      <c r="A452" s="3">
        <v>45323</v>
      </c>
      <c r="B452" s="3" t="str">
        <v>N:New Quotation</v>
      </c>
      <c r="C452" s="3" t="str">
        <v>H:Hull</v>
      </c>
      <c r="D452" s="3">
        <f>D451+1</f>
        <v>625</v>
      </c>
      <c r="E452" s="3" t="str">
        <f>CONCAT("Q","/",LEFT(Table2[[#This Row],[Quotation Type]],1),"/", LEFT(Table2[[#This Row],[Branch]],1),"/", RIGHT(YEAR(TODAY()),2), "/",Table2[[#This Row],[Seq. Number]])</f>
        <v>Q/N/H/26/625</v>
      </c>
      <c r="G452" s="3" t="str">
        <v>Kenji</v>
      </c>
      <c r="I452" s="3" t="str">
        <v>O/T</v>
      </c>
      <c r="J452" s="3" t="str">
        <v>Sarnia</v>
      </c>
    </row>
    <row r="453">
      <c r="A453" s="3">
        <v>45323</v>
      </c>
      <c r="B453" s="3" t="str">
        <v>R:Renewal</v>
      </c>
      <c r="C453" s="3" t="str">
        <v>H:Hull</v>
      </c>
      <c r="D453" s="3">
        <f>D452+1</f>
        <v>626</v>
      </c>
      <c r="E453" s="3" t="str">
        <f>CONCAT("Q","/",LEFT(Table2[[#This Row],[Quotation Type]],1),"/", LEFT(Table2[[#This Row],[Branch]],1),"/", RIGHT(YEAR(TODAY()),2), "/",Table2[[#This Row],[Seq. Number]])</f>
        <v>Q/R/H/26/626</v>
      </c>
      <c r="G453" s="3" t="str">
        <v>Seahorse</v>
      </c>
      <c r="I453" s="3" t="str">
        <v>GC</v>
      </c>
      <c r="J453" s="3" t="str">
        <v>Direct</v>
      </c>
    </row>
    <row r="454">
      <c r="A454" s="3">
        <v>45323</v>
      </c>
      <c r="B454" s="3" t="str">
        <v>R:Renewal</v>
      </c>
      <c r="C454" s="3" t="str">
        <v>P:P&amp;I</v>
      </c>
      <c r="D454" s="3">
        <f>D453+1</f>
        <v>627</v>
      </c>
      <c r="E454" s="3" t="str">
        <f>CONCAT("Q","/",LEFT(Table2[[#This Row],[Quotation Type]],1),"/", LEFT(Table2[[#This Row],[Branch]],1),"/", RIGHT(YEAR(TODAY()),2), "/",Table2[[#This Row],[Seq. Number]])</f>
        <v>Q/R/P/26/627</v>
      </c>
      <c r="G454" s="3" t="str">
        <v>Seahorse</v>
      </c>
      <c r="I454" s="3" t="str">
        <v>GC</v>
      </c>
      <c r="J454" s="3" t="str">
        <v>Direct</v>
      </c>
    </row>
    <row r="455">
      <c r="A455" s="3">
        <v>45324</v>
      </c>
      <c r="B455" s="3" t="str">
        <v>N:New Quotation</v>
      </c>
      <c r="C455" s="3" t="str">
        <v>H:Hull</v>
      </c>
      <c r="D455" s="3">
        <f>D454+1</f>
        <v>628</v>
      </c>
      <c r="E455" s="3" t="str">
        <f>CONCAT("Q","/",LEFT(Table2[[#This Row],[Quotation Type]],1),"/", LEFT(Table2[[#This Row],[Branch]],1),"/", RIGHT(YEAR(TODAY()),2), "/",Table2[[#This Row],[Seq. Number]])</f>
        <v>Q/N/H/26/628</v>
      </c>
      <c r="G455" s="3" t="str">
        <v>Gem 1</v>
      </c>
      <c r="I455" s="3" t="str">
        <v>Work Boat</v>
      </c>
      <c r="J455" s="3" t="str">
        <v>Brandenburg</v>
      </c>
    </row>
    <row r="456">
      <c r="A456" s="3">
        <v>45324</v>
      </c>
      <c r="B456" s="3" t="str">
        <v>N:New Quotation</v>
      </c>
      <c r="C456" s="3" t="str">
        <v>P:P&amp;I</v>
      </c>
      <c r="D456" s="3">
        <f>D455+1</f>
        <v>629</v>
      </c>
      <c r="E456" s="3" t="str">
        <f>CONCAT("Q","/",LEFT(Table2[[#This Row],[Quotation Type]],1),"/", LEFT(Table2[[#This Row],[Branch]],1),"/", RIGHT(YEAR(TODAY()),2), "/",Table2[[#This Row],[Seq. Number]])</f>
        <v>Q/N/P/26/629</v>
      </c>
      <c r="G456" s="3" t="str">
        <v>Gem 1</v>
      </c>
      <c r="I456" s="3" t="str">
        <v>Work Boat</v>
      </c>
      <c r="J456" s="3" t="str">
        <v>Brandenburg</v>
      </c>
    </row>
    <row r="457">
      <c r="A457" s="3">
        <v>45329</v>
      </c>
      <c r="B457" s="3" t="str">
        <v>N:New Quotation</v>
      </c>
      <c r="C457" s="3" t="str">
        <v>H:Hull</v>
      </c>
      <c r="D457" s="3">
        <f>D456+1</f>
        <v>630</v>
      </c>
      <c r="E457" s="3" t="str">
        <f>CONCAT("Q","/",LEFT(Table2[[#This Row],[Quotation Type]],1),"/", LEFT(Table2[[#This Row],[Branch]],1),"/", RIGHT(YEAR(TODAY()),2), "/",Table2[[#This Row],[Seq. Number]])</f>
        <v>Q/N/H/26/630</v>
      </c>
      <c r="G457" s="3" t="str">
        <v>Vaughan</v>
      </c>
      <c r="I457" s="3" t="str">
        <v>O/T</v>
      </c>
      <c r="J457" s="3" t="str">
        <v>Newberry</v>
      </c>
    </row>
    <row r="458">
      <c r="A458" s="3">
        <v>45329</v>
      </c>
      <c r="B458" s="3" t="str">
        <v>N:New Quotation</v>
      </c>
      <c r="C458" s="3" t="str">
        <v>H:Hull</v>
      </c>
      <c r="D458" s="3">
        <f>D457+1</f>
        <v>631</v>
      </c>
      <c r="E458" s="3" t="str">
        <f>CONCAT("Q","/",LEFT(Table2[[#This Row],[Quotation Type]],1),"/", LEFT(Table2[[#This Row],[Branch]],1),"/", RIGHT(YEAR(TODAY()),2), "/",Table2[[#This Row],[Seq. Number]])</f>
        <v>Q/N/H/26/631</v>
      </c>
      <c r="G458" s="3" t="str">
        <v>Ramya</v>
      </c>
      <c r="I458" s="3" t="str">
        <v>O/T</v>
      </c>
      <c r="J458" s="3" t="str">
        <v>Newberry</v>
      </c>
    </row>
    <row r="459">
      <c r="A459" s="3">
        <v>45329</v>
      </c>
      <c r="B459" s="3" t="str">
        <v>A:Addition</v>
      </c>
      <c r="C459" s="3" t="str">
        <v>P:P&amp;I</v>
      </c>
      <c r="D459" s="3">
        <f>D458+1</f>
        <v>632</v>
      </c>
      <c r="E459" s="3" t="str">
        <f>CONCAT("Q","/",LEFT(Table2[[#This Row],[Quotation Type]],1),"/", LEFT(Table2[[#This Row],[Branch]],1),"/", RIGHT(YEAR(TODAY()),2), "/",Table2[[#This Row],[Seq. Number]])</f>
        <v>Q/A/P/26/632</v>
      </c>
      <c r="F459" s="3" t="str">
        <v>Adnan Hassan Fleet</v>
      </c>
      <c r="I459" s="3" t="str">
        <v>GC</v>
      </c>
      <c r="J459" s="3" t="str">
        <v>Kuzey</v>
      </c>
    </row>
    <row r="460">
      <c r="A460" s="3">
        <v>45329</v>
      </c>
      <c r="B460" s="3" t="str">
        <v>N:New Quotation</v>
      </c>
      <c r="C460" s="3" t="str">
        <v>P:P&amp;I</v>
      </c>
      <c r="D460" s="3">
        <f>D459+1</f>
        <v>633</v>
      </c>
      <c r="E460" s="3" t="str">
        <f>CONCAT("Q","/",LEFT(Table2[[#This Row],[Quotation Type]],1),"/", LEFT(Table2[[#This Row],[Branch]],1),"/", RIGHT(YEAR(TODAY()),2), "/",Table2[[#This Row],[Seq. Number]])</f>
        <v>Q/N/P/26/633</v>
      </c>
      <c r="F460" s="3" t="str">
        <v>Adnan Hassan Fleet</v>
      </c>
      <c r="I460" s="3" t="str">
        <v>GC</v>
      </c>
      <c r="J460" s="3" t="str">
        <v>Kuzey</v>
      </c>
    </row>
    <row r="461">
      <c r="A461" s="3">
        <v>45335</v>
      </c>
      <c r="B461" s="3" t="str">
        <v>R:Renewal</v>
      </c>
      <c r="C461" s="3" t="str">
        <v>P:P&amp;I</v>
      </c>
      <c r="D461" s="3">
        <f>D460+1</f>
        <v>634</v>
      </c>
      <c r="E461" s="3" t="str">
        <f>CONCAT("Q","/",LEFT(Table2[[#This Row],[Quotation Type]],1),"/", LEFT(Table2[[#This Row],[Branch]],1),"/", RIGHT(YEAR(TODAY()),2), "/",Table2[[#This Row],[Seq. Number]])</f>
        <v>Q/R/P/26/634</v>
      </c>
      <c r="F461" s="3" t="str">
        <v>Al Ayyat</v>
      </c>
      <c r="G461" s="3" t="str">
        <v>Taiba</v>
      </c>
      <c r="I461" s="3" t="str">
        <v>MLV</v>
      </c>
      <c r="J461" s="3" t="str">
        <v>Direct</v>
      </c>
    </row>
    <row r="462">
      <c r="A462" s="3">
        <v>45335</v>
      </c>
      <c r="B462" s="3" t="str">
        <v>N:New Quotation</v>
      </c>
      <c r="C462" s="3" t="str">
        <v>W:War</v>
      </c>
      <c r="D462" s="3">
        <f>D461+1</f>
        <v>635</v>
      </c>
      <c r="E462" s="3" t="str">
        <f>CONCAT("Q","/",LEFT(Table2[[#This Row],[Quotation Type]],1),"/", LEFT(Table2[[#This Row],[Branch]],1),"/", RIGHT(YEAR(TODAY()),2), "/",Table2[[#This Row],[Seq. Number]])</f>
        <v>Q/N/W/26/635</v>
      </c>
      <c r="G462" s="3" t="str">
        <v>Kenji</v>
      </c>
      <c r="I462" s="3" t="str">
        <v>O/T</v>
      </c>
      <c r="J462" s="3" t="str">
        <v>Sarnia</v>
      </c>
    </row>
    <row r="463">
      <c r="A463" s="3">
        <v>45335</v>
      </c>
      <c r="B463" s="3" t="str">
        <v>R:Renewal</v>
      </c>
      <c r="C463" s="3" t="str">
        <v>P:P&amp;I</v>
      </c>
      <c r="D463" s="3">
        <f>D462+1</f>
        <v>636</v>
      </c>
      <c r="E463" s="3" t="str">
        <f>CONCAT("Q","/",LEFT(Table2[[#This Row],[Quotation Type]],1),"/", LEFT(Table2[[#This Row],[Branch]],1),"/", RIGHT(YEAR(TODAY()),2), "/",Table2[[#This Row],[Seq. Number]])</f>
        <v>Q/R/P/26/636</v>
      </c>
      <c r="F463" s="3" t="str">
        <v>Alfamarine</v>
      </c>
      <c r="G463" s="3" t="str">
        <v>Majd B</v>
      </c>
    </row>
    <row r="464">
      <c r="A464" s="3">
        <v>45337</v>
      </c>
      <c r="B464" s="3" t="str">
        <v>N:New Quotation</v>
      </c>
      <c r="C464" s="3" t="str">
        <v>H:Hull</v>
      </c>
      <c r="D464" s="3">
        <f>D463+1</f>
        <v>637</v>
      </c>
      <c r="E464" s="3" t="str">
        <f>CONCAT("Q","/",LEFT(Table2[[#This Row],[Quotation Type]],1),"/", LEFT(Table2[[#This Row],[Branch]],1),"/", RIGHT(YEAR(TODAY()),2), "/",Table2[[#This Row],[Seq. Number]])</f>
        <v>Q/N/H/26/637</v>
      </c>
      <c r="F464" s="3" t="str">
        <v>Guha Shipping</v>
      </c>
      <c r="G464" s="3" t="str">
        <v>Alfa Star</v>
      </c>
      <c r="I464" s="3" t="str">
        <v>GC</v>
      </c>
      <c r="J464" s="3" t="str">
        <v>Kuzey</v>
      </c>
    </row>
    <row r="465">
      <c r="A465" s="3">
        <v>45337</v>
      </c>
      <c r="B465" s="3" t="str">
        <v>N:New Quotation</v>
      </c>
      <c r="C465" s="3" t="str">
        <v>P:P&amp;I</v>
      </c>
      <c r="D465" s="3">
        <f>D464+1</f>
        <v>638</v>
      </c>
      <c r="E465" s="3" t="str">
        <f>CONCAT("Q","/",LEFT(Table2[[#This Row],[Quotation Type]],1),"/", LEFT(Table2[[#This Row],[Branch]],1),"/", RIGHT(YEAR(TODAY()),2), "/",Table2[[#This Row],[Seq. Number]])</f>
        <v>Q/N/P/26/638</v>
      </c>
      <c r="F465" s="3" t="str">
        <v>Guha Shipping</v>
      </c>
      <c r="G465" s="3" t="str">
        <v>Alfa Star</v>
      </c>
      <c r="I465" s="3" t="str">
        <v>GC</v>
      </c>
      <c r="J465" s="3" t="str">
        <v>Kuzey</v>
      </c>
    </row>
    <row r="466">
      <c r="A466" s="3">
        <v>45341</v>
      </c>
      <c r="B466" s="3" t="str">
        <v>R:Renewal</v>
      </c>
      <c r="C466" s="3" t="str">
        <v>H:Hull</v>
      </c>
      <c r="D466" s="3">
        <f>D465+1</f>
        <v>639</v>
      </c>
      <c r="E466" s="3" t="str">
        <f>CONCAT("Q","/",LEFT(Table2[[#This Row],[Quotation Type]],1),"/", LEFT(Table2[[#This Row],[Branch]],1),"/", RIGHT(YEAR(TODAY()),2), "/",Table2[[#This Row],[Seq. Number]])</f>
        <v>Q/R/H/26/639</v>
      </c>
      <c r="F466" s="3" t="str">
        <v>Gulf Coast Shipping</v>
      </c>
      <c r="G466" s="3" t="str">
        <v>Adel I</v>
      </c>
      <c r="I466" s="3" t="str">
        <v>MLV</v>
      </c>
      <c r="J466" s="3" t="str">
        <v>Direct</v>
      </c>
    </row>
    <row r="467">
      <c r="A467" s="3">
        <v>45341</v>
      </c>
      <c r="B467" s="3" t="str">
        <v>R:Renewal</v>
      </c>
      <c r="C467" s="3" t="str">
        <v>W:War</v>
      </c>
      <c r="D467" s="3">
        <f>D466+1</f>
        <v>640</v>
      </c>
      <c r="E467" s="3" t="str">
        <f>CONCAT("Q","/",LEFT(Table2[[#This Row],[Quotation Type]],1),"/", LEFT(Table2[[#This Row],[Branch]],1),"/", RIGHT(YEAR(TODAY()),2), "/",Table2[[#This Row],[Seq. Number]])</f>
        <v>Q/R/W/26/640</v>
      </c>
      <c r="F467" s="3" t="str">
        <v>Gulf Coast Shipping</v>
      </c>
      <c r="G467" s="3" t="str">
        <v>Adel I</v>
      </c>
      <c r="I467" s="3" t="str">
        <v>MLV</v>
      </c>
      <c r="J467" s="3" t="str">
        <v>Direct</v>
      </c>
    </row>
    <row r="468">
      <c r="A468" s="3">
        <v>45341</v>
      </c>
      <c r="B468" s="3" t="str">
        <v>R:Renewal</v>
      </c>
      <c r="C468" s="3" t="str">
        <v>H:Hull</v>
      </c>
      <c r="D468" s="3">
        <f>D467+1</f>
        <v>641</v>
      </c>
      <c r="E468" s="3" t="str">
        <f>CONCAT("Q","/",LEFT(Table2[[#This Row],[Quotation Type]],1),"/", LEFT(Table2[[#This Row],[Branch]],1),"/", RIGHT(YEAR(TODAY()),2), "/",Table2[[#This Row],[Seq. Number]])</f>
        <v>Q/R/H/26/641</v>
      </c>
      <c r="F468" s="3" t="str">
        <v>SSS</v>
      </c>
      <c r="G468" s="3" t="str">
        <v>Maria Queen</v>
      </c>
      <c r="I468" s="3" t="str">
        <v>GC</v>
      </c>
      <c r="J468" s="3" t="str">
        <v>SSS</v>
      </c>
    </row>
    <row r="469">
      <c r="A469" s="3">
        <v>45341</v>
      </c>
      <c r="B469" s="3" t="str">
        <v>R:Renewal</v>
      </c>
      <c r="C469" s="3" t="str">
        <v>P:P&amp;I</v>
      </c>
      <c r="D469" s="3">
        <f>D468+1</f>
        <v>642</v>
      </c>
      <c r="E469" s="3" t="str">
        <f>CONCAT("Q","/",LEFT(Table2[[#This Row],[Quotation Type]],1),"/", LEFT(Table2[[#This Row],[Branch]],1),"/", RIGHT(YEAR(TODAY()),2), "/",Table2[[#This Row],[Seq. Number]])</f>
        <v>Q/R/P/26/642</v>
      </c>
      <c r="F469" s="3" t="str">
        <v>SSS</v>
      </c>
      <c r="G469" s="3" t="str">
        <v>Maria Queen</v>
      </c>
      <c r="I469" s="3" t="str">
        <v>GC</v>
      </c>
      <c r="J469" s="3" t="str">
        <v>SSS</v>
      </c>
    </row>
    <row r="470">
      <c r="A470" s="3">
        <v>45341</v>
      </c>
      <c r="B470" s="3" t="str">
        <v>R:Renewal</v>
      </c>
      <c r="C470" s="3" t="str">
        <v>W:War</v>
      </c>
      <c r="D470" s="3">
        <f>D469+1</f>
        <v>643</v>
      </c>
      <c r="E470" s="3" t="str">
        <f>CONCAT("Q","/",LEFT(Table2[[#This Row],[Quotation Type]],1),"/", LEFT(Table2[[#This Row],[Branch]],1),"/", RIGHT(YEAR(TODAY()),2), "/",Table2[[#This Row],[Seq. Number]])</f>
        <v>Q/R/W/26/643</v>
      </c>
      <c r="F470" s="3" t="str">
        <v>SSS</v>
      </c>
      <c r="G470" s="3" t="str">
        <v>Maria Queen</v>
      </c>
      <c r="I470" s="3" t="str">
        <v>GC</v>
      </c>
      <c r="J470" s="3" t="str">
        <v>SSS</v>
      </c>
    </row>
    <row r="471">
      <c r="A471" s="3">
        <v>45341</v>
      </c>
      <c r="B471" s="3" t="str">
        <v>R:Renewal</v>
      </c>
      <c r="C471" s="3" t="str">
        <v>H:Hull</v>
      </c>
      <c r="D471" s="3">
        <f>D470+1</f>
        <v>644</v>
      </c>
      <c r="E471" s="3" t="str">
        <f>CONCAT("Q","/",LEFT(Table2[[#This Row],[Quotation Type]],1),"/", LEFT(Table2[[#This Row],[Branch]],1),"/", RIGHT(YEAR(TODAY()),2), "/",Table2[[#This Row],[Seq. Number]])</f>
        <v>Q/R/H/26/644</v>
      </c>
      <c r="F471" s="3" t="str">
        <v>Lightship Management</v>
      </c>
      <c r="G471" s="3" t="str">
        <v>Serenity Gas</v>
      </c>
      <c r="J471" s="3" t="str">
        <v>Kominsur</v>
      </c>
    </row>
    <row r="472">
      <c r="A472" s="3">
        <v>45343</v>
      </c>
      <c r="B472" s="3" t="str">
        <v>N:New Quotation</v>
      </c>
      <c r="C472" s="3" t="str">
        <v>H:Hull</v>
      </c>
      <c r="D472" s="3">
        <f>D471+1</f>
        <v>645</v>
      </c>
      <c r="E472" s="3" t="str">
        <f>CONCAT("Q","/",LEFT(Table2[[#This Row],[Quotation Type]],1),"/", LEFT(Table2[[#This Row],[Branch]],1),"/", RIGHT(YEAR(TODAY()),2), "/",Table2[[#This Row],[Seq. Number]])</f>
        <v>Q/N/H/26/645</v>
      </c>
      <c r="F472" s="3" t="str">
        <v>Bluespectrum</v>
      </c>
      <c r="G472" s="3" t="str">
        <v>Joel</v>
      </c>
      <c r="I472" s="3" t="str">
        <v>O/T</v>
      </c>
      <c r="J472" s="3" t="str">
        <v>City</v>
      </c>
    </row>
    <row r="473">
      <c r="A473" s="3">
        <v>45343</v>
      </c>
      <c r="B473" s="3" t="str">
        <v>R:Renewal</v>
      </c>
      <c r="C473" s="3" t="str">
        <v>Y:Yacht</v>
      </c>
      <c r="D473" s="3">
        <f>D472+1</f>
        <v>646</v>
      </c>
      <c r="E473" s="3" t="str">
        <f>CONCAT("Q","/",LEFT(Table2[[#This Row],[Quotation Type]],1),"/", LEFT(Table2[[#This Row],[Branch]],1),"/", RIGHT(YEAR(TODAY()),2), "/",Table2[[#This Row],[Seq. Number]])</f>
        <v>Q/R/Y/26/646</v>
      </c>
      <c r="G473" s="3" t="str">
        <v>Pilar</v>
      </c>
      <c r="I473" s="3" t="str">
        <v>Yacht</v>
      </c>
      <c r="J473" s="3" t="str">
        <v>Newberry</v>
      </c>
    </row>
    <row r="474">
      <c r="A474" s="3">
        <v>45343</v>
      </c>
      <c r="B474" s="3" t="str">
        <v>R:Renewal</v>
      </c>
      <c r="C474" s="3" t="str">
        <v>P:P&amp;I</v>
      </c>
      <c r="D474" s="3">
        <f>D473+1</f>
        <v>647</v>
      </c>
      <c r="E474" s="3" t="str">
        <f>CONCAT("Q","/",LEFT(Table2[[#This Row],[Quotation Type]],1),"/", LEFT(Table2[[#This Row],[Branch]],1),"/", RIGHT(YEAR(TODAY()),2), "/",Table2[[#This Row],[Seq. Number]])</f>
        <v>Q/R/P/26/647</v>
      </c>
      <c r="F474" s="3" t="str">
        <v>Victory Marine Services</v>
      </c>
      <c r="I474" s="3" t="str">
        <v>GC</v>
      </c>
      <c r="J474" s="3" t="str">
        <v>Ferrari</v>
      </c>
    </row>
    <row r="475">
      <c r="A475" s="3">
        <v>45343</v>
      </c>
      <c r="B475" s="3" t="str">
        <v>N:New Quotation</v>
      </c>
      <c r="C475" s="3" t="str">
        <v>P:P&amp;I</v>
      </c>
      <c r="D475" s="3">
        <f>D474+1</f>
        <v>648</v>
      </c>
      <c r="E475" s="3" t="str">
        <f>CONCAT("Q","/",LEFT(Table2[[#This Row],[Quotation Type]],1),"/", LEFT(Table2[[#This Row],[Branch]],1),"/", RIGHT(YEAR(TODAY()),2), "/",Table2[[#This Row],[Seq. Number]])</f>
        <v>Q/N/P/26/648</v>
      </c>
      <c r="F475" s="3" t="str">
        <v>Pole Star</v>
      </c>
      <c r="G475" s="3" t="str">
        <v>Run Long</v>
      </c>
      <c r="I475" s="3" t="str">
        <v>GC</v>
      </c>
      <c r="J475" s="3" t="str">
        <v>Kuzey</v>
      </c>
    </row>
    <row r="476">
      <c r="A476" s="3">
        <v>45343</v>
      </c>
      <c r="B476" s="3" t="str">
        <v>N:New Quotation</v>
      </c>
      <c r="C476" s="3" t="str">
        <v>W:War</v>
      </c>
      <c r="D476" s="3">
        <f>D475+1</f>
        <v>649</v>
      </c>
      <c r="E476" s="3" t="str">
        <f>CONCAT("Q","/",LEFT(Table2[[#This Row],[Quotation Type]],1),"/", LEFT(Table2[[#This Row],[Branch]],1),"/", RIGHT(YEAR(TODAY()),2), "/",Table2[[#This Row],[Seq. Number]])</f>
        <v>Q/N/W/26/649</v>
      </c>
      <c r="F476" s="3" t="str">
        <v>Bluespectrum</v>
      </c>
      <c r="G476" s="3" t="str">
        <v>Joel</v>
      </c>
      <c r="I476" s="3" t="str">
        <v>O/T</v>
      </c>
      <c r="J476" s="3" t="str">
        <v>City</v>
      </c>
    </row>
    <row r="477">
      <c r="A477" s="3">
        <v>45344</v>
      </c>
      <c r="B477" s="3" t="str">
        <v>R:Renewal</v>
      </c>
      <c r="C477" s="3" t="str">
        <v>H:Hull</v>
      </c>
      <c r="D477" s="3">
        <f>D476+1</f>
        <v>650</v>
      </c>
      <c r="E477" s="3" t="str">
        <f>CONCAT("Q","/",LEFT(Table2[[#This Row],[Quotation Type]],1),"/", LEFT(Table2[[#This Row],[Branch]],1),"/", RIGHT(YEAR(TODAY()),2), "/",Table2[[#This Row],[Seq. Number]])</f>
        <v>Q/R/H/26/650</v>
      </c>
      <c r="F477" s="3" t="str">
        <v>SSS</v>
      </c>
      <c r="G477" s="3" t="str">
        <v>Mirabella - Asmaa</v>
      </c>
      <c r="I477" s="3" t="str">
        <v>BC</v>
      </c>
      <c r="J477" s="3" t="str">
        <v>SSS</v>
      </c>
    </row>
    <row r="478">
      <c r="A478" s="3">
        <v>45344</v>
      </c>
      <c r="B478" s="3" t="str">
        <v>R:Renewal</v>
      </c>
      <c r="C478" s="3" t="str">
        <v>W:War</v>
      </c>
      <c r="D478" s="3">
        <f>D477+1</f>
        <v>651</v>
      </c>
      <c r="E478" s="3" t="str">
        <f>CONCAT("Q","/",LEFT(Table2[[#This Row],[Quotation Type]],1),"/", LEFT(Table2[[#This Row],[Branch]],1),"/", RIGHT(YEAR(TODAY()),2), "/",Table2[[#This Row],[Seq. Number]])</f>
        <v>Q/R/W/26/651</v>
      </c>
      <c r="F478" s="3" t="str">
        <v>SSS</v>
      </c>
      <c r="G478" s="3" t="str">
        <v>Asmaa</v>
      </c>
      <c r="I478" s="3" t="str">
        <v>BC</v>
      </c>
      <c r="J478" s="3" t="str">
        <v>SSS</v>
      </c>
    </row>
    <row r="479">
      <c r="A479" s="3">
        <v>45344</v>
      </c>
      <c r="B479" s="3" t="str">
        <v>N:New Quotation</v>
      </c>
      <c r="C479" s="3" t="str">
        <v>P:P&amp;I</v>
      </c>
      <c r="D479" s="3">
        <f>D478+1</f>
        <v>652</v>
      </c>
      <c r="E479" s="3" t="str">
        <f>CONCAT("Q","/",LEFT(Table2[[#This Row],[Quotation Type]],1),"/", LEFT(Table2[[#This Row],[Branch]],1),"/", RIGHT(YEAR(TODAY()),2), "/",Table2[[#This Row],[Seq. Number]])</f>
        <v>Q/N/P/26/652</v>
      </c>
      <c r="F479" s="3" t="str">
        <v>Fadimar</v>
      </c>
      <c r="G479" s="3" t="str">
        <v>Mostafa B - Neptun - Marwa B</v>
      </c>
      <c r="I479" s="3" t="str">
        <v>GC</v>
      </c>
      <c r="J479" s="3" t="str">
        <v>Direct</v>
      </c>
    </row>
    <row r="480">
      <c r="A480" s="3">
        <v>45344</v>
      </c>
      <c r="B480" s="3" t="str">
        <v>R:Renewal</v>
      </c>
      <c r="C480" s="3" t="str">
        <v>H:Hull</v>
      </c>
      <c r="D480" s="3">
        <f>D479+1</f>
        <v>653</v>
      </c>
      <c r="E480" s="3" t="str">
        <f>CONCAT("Q","/",LEFT(Table2[[#This Row],[Quotation Type]],1),"/", LEFT(Table2[[#This Row],[Branch]],1),"/", RIGHT(YEAR(TODAY()),2), "/",Table2[[#This Row],[Seq. Number]])</f>
        <v>Q/R/H/26/653</v>
      </c>
      <c r="F480" s="3" t="str">
        <v>MN Shipping</v>
      </c>
      <c r="G480" s="3" t="str">
        <v>MN Leo</v>
      </c>
      <c r="I480" s="3" t="str">
        <v>GC</v>
      </c>
      <c r="J480" s="3" t="str">
        <v>SSS</v>
      </c>
    </row>
    <row r="481">
      <c r="A481" s="3">
        <v>45344</v>
      </c>
      <c r="B481" s="3" t="str">
        <v>N:New Quotation</v>
      </c>
      <c r="C481" s="3" t="str">
        <v>H:Hull</v>
      </c>
      <c r="D481" s="3">
        <f>D480+1</f>
        <v>654</v>
      </c>
      <c r="E481" s="3" t="str">
        <f>CONCAT("Q","/",LEFT(Table2[[#This Row],[Quotation Type]],1),"/", LEFT(Table2[[#This Row],[Branch]],1),"/", RIGHT(YEAR(TODAY()),2), "/",Table2[[#This Row],[Seq. Number]])</f>
        <v>Q/N/H/26/654</v>
      </c>
      <c r="F481" s="3" t="str">
        <v>Sea Surf Shipping</v>
      </c>
      <c r="G481" s="3" t="str">
        <v>AIPP Gold</v>
      </c>
      <c r="I481" s="3" t="str">
        <v>GC</v>
      </c>
      <c r="J481" s="3" t="str">
        <v>City</v>
      </c>
    </row>
    <row r="482">
      <c r="A482" s="3">
        <v>45344</v>
      </c>
      <c r="B482" s="3" t="str">
        <v>N:New Quotation</v>
      </c>
      <c r="C482" s="3" t="str">
        <v>W:War</v>
      </c>
      <c r="D482" s="3">
        <f>D481+1</f>
        <v>655</v>
      </c>
      <c r="E482" s="3" t="str">
        <f>CONCAT("Q","/",LEFT(Table2[[#This Row],[Quotation Type]],1),"/", LEFT(Table2[[#This Row],[Branch]],1),"/", RIGHT(YEAR(TODAY()),2), "/",Table2[[#This Row],[Seq. Number]])</f>
        <v>Q/N/W/26/655</v>
      </c>
      <c r="F482" s="3" t="str">
        <v>Sea Surf Shipping</v>
      </c>
      <c r="G482" s="3" t="str">
        <v>AIPP Gold</v>
      </c>
      <c r="I482" s="3" t="str">
        <v>GC</v>
      </c>
      <c r="J482" s="3" t="str">
        <v>City</v>
      </c>
    </row>
    <row r="483">
      <c r="A483" s="3">
        <v>45348</v>
      </c>
      <c r="B483" s="3" t="str">
        <v>R:Renewal</v>
      </c>
      <c r="C483" s="3" t="str">
        <v>H:Hull</v>
      </c>
      <c r="D483" s="3">
        <f>D482+1</f>
        <v>656</v>
      </c>
      <c r="E483" s="3" t="str">
        <f>CONCAT("Q","/",LEFT(Table2[[#This Row],[Quotation Type]],1),"/", LEFT(Table2[[#This Row],[Branch]],1),"/", RIGHT(YEAR(TODAY()),2), "/",Table2[[#This Row],[Seq. Number]])</f>
        <v>Q/R/H/26/656</v>
      </c>
      <c r="F483" s="3" t="str">
        <v>MN Shipping</v>
      </c>
      <c r="G483" s="3" t="str">
        <v>MN Glory</v>
      </c>
      <c r="I483" s="3" t="str">
        <v>GC</v>
      </c>
      <c r="J483" s="3" t="str">
        <v>SSS</v>
      </c>
    </row>
    <row r="484">
      <c r="A484" s="3">
        <v>45348</v>
      </c>
      <c r="B484" s="3" t="str">
        <v>R:Renewal</v>
      </c>
      <c r="C484" s="3" t="str">
        <v>P:P&amp;I</v>
      </c>
      <c r="D484" s="3">
        <f>D483+1</f>
        <v>657</v>
      </c>
      <c r="E484" s="3" t="str">
        <f>CONCAT("Q","/",LEFT(Table2[[#This Row],[Quotation Type]],1),"/", LEFT(Table2[[#This Row],[Branch]],1),"/", RIGHT(YEAR(TODAY()),2), "/",Table2[[#This Row],[Seq. Number]])</f>
        <v>Q/R/P/26/657</v>
      </c>
      <c r="F484" s="3" t="str">
        <v>USC Marine Ltd</v>
      </c>
      <c r="G484" s="3" t="str">
        <v>Prince Zafer</v>
      </c>
      <c r="I484" s="3" t="str">
        <v>GC</v>
      </c>
      <c r="J484" s="3" t="str">
        <v>Direct</v>
      </c>
    </row>
    <row r="485">
      <c r="A485" s="3">
        <v>45348</v>
      </c>
      <c r="B485" s="3" t="str">
        <v>R:Renewal</v>
      </c>
      <c r="C485" s="3" t="str">
        <v>H:Hull</v>
      </c>
      <c r="D485" s="3">
        <f>D484+1</f>
        <v>658</v>
      </c>
      <c r="E485" s="3" t="str">
        <f>CONCAT("Q","/",LEFT(Table2[[#This Row],[Quotation Type]],1),"/", LEFT(Table2[[#This Row],[Branch]],1),"/", RIGHT(YEAR(TODAY()),2), "/",Table2[[#This Row],[Seq. Number]])</f>
        <v>Q/R/H/26/658</v>
      </c>
      <c r="F485" s="3" t="str">
        <v>Sena Ship Management</v>
      </c>
      <c r="G485" s="3" t="str">
        <v>Sea Wave 1</v>
      </c>
      <c r="I485" s="3" t="str">
        <v>Ro-Ro</v>
      </c>
      <c r="J485" s="3" t="str">
        <v>Mesco</v>
      </c>
    </row>
    <row r="486">
      <c r="A486" s="3">
        <v>45349</v>
      </c>
      <c r="B486" s="3" t="str">
        <v>N:New Quotation</v>
      </c>
      <c r="C486" s="3" t="str">
        <v>H:Hull</v>
      </c>
      <c r="D486" s="3">
        <f>D485+1</f>
        <v>659</v>
      </c>
      <c r="E486" s="3" t="str">
        <f>CONCAT("Q","/",LEFT(Table2[[#This Row],[Quotation Type]],1),"/", LEFT(Table2[[#This Row],[Branch]],1),"/", RIGHT(YEAR(TODAY()),2), "/",Table2[[#This Row],[Seq. Number]])</f>
        <v>Q/N/H/26/659</v>
      </c>
      <c r="F486" s="3" t="str">
        <v>Sunwind Shipping Ltd</v>
      </c>
      <c r="G486" s="3" t="str">
        <v>Zeebony</v>
      </c>
      <c r="I486" s="3" t="str">
        <v>GC</v>
      </c>
      <c r="J486" s="3" t="str">
        <v>Premium</v>
      </c>
    </row>
    <row r="487">
      <c r="A487" s="3">
        <v>45349</v>
      </c>
      <c r="B487" s="3" t="str">
        <v>N:New Quotation</v>
      </c>
      <c r="C487" s="3" t="str">
        <v>P:P&amp;I</v>
      </c>
      <c r="D487" s="3">
        <f>D486+1</f>
        <v>660</v>
      </c>
      <c r="E487" s="3" t="str">
        <f>CONCAT("Q","/",LEFT(Table2[[#This Row],[Quotation Type]],1),"/", LEFT(Table2[[#This Row],[Branch]],1),"/", RIGHT(YEAR(TODAY()),2), "/",Table2[[#This Row],[Seq. Number]])</f>
        <v>Q/N/P/26/660</v>
      </c>
      <c r="F487" s="3" t="str">
        <v>Sunwind Shipping Ltd</v>
      </c>
      <c r="G487" s="3" t="str">
        <v>Zeebony</v>
      </c>
      <c r="I487" s="3" t="str">
        <v>GC</v>
      </c>
      <c r="J487" s="3" t="str">
        <v>Premium</v>
      </c>
    </row>
    <row r="488">
      <c r="A488" s="3">
        <v>45349</v>
      </c>
      <c r="B488" s="3" t="str">
        <v>N:New Quotation</v>
      </c>
      <c r="C488" s="3" t="str">
        <v>H:Hull</v>
      </c>
      <c r="D488" s="3">
        <f>D487+1</f>
        <v>661</v>
      </c>
      <c r="E488" s="3" t="str">
        <f>CONCAT("Q","/",LEFT(Table2[[#This Row],[Quotation Type]],1),"/", LEFT(Table2[[#This Row],[Branch]],1),"/", RIGHT(YEAR(TODAY()),2), "/",Table2[[#This Row],[Seq. Number]])</f>
        <v>Q/N/H/26/661</v>
      </c>
      <c r="F488" s="3" t="str">
        <v>Tangar Ship Management</v>
      </c>
      <c r="G488" s="3" t="str">
        <v>Al Diab II</v>
      </c>
      <c r="I488" s="3" t="str">
        <v>LPG</v>
      </c>
      <c r="J488" s="3" t="str">
        <v>City</v>
      </c>
    </row>
    <row r="489">
      <c r="A489" s="3">
        <v>45349</v>
      </c>
      <c r="B489" s="3" t="str">
        <v>N:New Quotation</v>
      </c>
      <c r="C489" s="3" t="str">
        <v>W:War</v>
      </c>
      <c r="D489" s="3">
        <f>D488+1</f>
        <v>662</v>
      </c>
      <c r="E489" s="3" t="str">
        <f>CONCAT("Q","/",LEFT(Table2[[#This Row],[Quotation Type]],1),"/", LEFT(Table2[[#This Row],[Branch]],1),"/", RIGHT(YEAR(TODAY()),2), "/",Table2[[#This Row],[Seq. Number]])</f>
        <v>Q/N/W/26/662</v>
      </c>
      <c r="F489" s="3" t="str">
        <v>Sunwind Shipping Ltd</v>
      </c>
      <c r="G489" s="3" t="str">
        <v>Zeebony</v>
      </c>
      <c r="I489" s="3" t="str">
        <v>GC</v>
      </c>
      <c r="J489" s="3" t="str">
        <v>Premium</v>
      </c>
    </row>
    <row r="490">
      <c r="A490" s="3">
        <v>45356</v>
      </c>
      <c r="B490" s="3" t="str">
        <v>R:Renewal</v>
      </c>
      <c r="C490" s="3" t="str">
        <v>H:Hull</v>
      </c>
      <c r="D490" s="3">
        <f>D489+1</f>
        <v>663</v>
      </c>
      <c r="E490" s="3" t="str">
        <f>CONCAT("Q","/",LEFT(Table2[[#This Row],[Quotation Type]],1),"/", LEFT(Table2[[#This Row],[Branch]],1),"/", RIGHT(YEAR(TODAY()),2), "/",Table2[[#This Row],[Seq. Number]])</f>
        <v>Q/R/H/26/663</v>
      </c>
      <c r="F490" s="3" t="str">
        <v>Zamzam Shipping</v>
      </c>
      <c r="G490" s="3" t="str">
        <v>Zamzam/Zamzam I</v>
      </c>
      <c r="J490" s="3" t="str">
        <v>Brandenburg</v>
      </c>
    </row>
    <row r="491">
      <c r="A491" s="3">
        <v>45356</v>
      </c>
      <c r="B491" s="3" t="str">
        <v>A:Addition</v>
      </c>
      <c r="C491" s="3" t="str">
        <v>H:Hull</v>
      </c>
      <c r="D491" s="3">
        <f>D490+1</f>
        <v>664</v>
      </c>
      <c r="E491" s="3" t="str">
        <f>CONCAT("Q","/",LEFT(Table2[[#This Row],[Quotation Type]],1),"/", LEFT(Table2[[#This Row],[Branch]],1),"/", RIGHT(YEAR(TODAY()),2), "/",Table2[[#This Row],[Seq. Number]])</f>
        <v>Q/A/H/26/664</v>
      </c>
      <c r="F491" s="3" t="str">
        <v>Diamar</v>
      </c>
      <c r="G491" s="3" t="str">
        <v>Aya Zanoubya</v>
      </c>
      <c r="J491" s="3" t="str">
        <v>Observator</v>
      </c>
    </row>
    <row r="492">
      <c r="A492" s="3">
        <v>45356</v>
      </c>
      <c r="B492" s="3" t="str">
        <v>A:Addition</v>
      </c>
      <c r="C492" s="3" t="str">
        <v>P:P&amp;I</v>
      </c>
      <c r="D492" s="3">
        <f>D491+1</f>
        <v>665</v>
      </c>
      <c r="E492" s="3" t="str">
        <f>CONCAT("Q","/",LEFT(Table2[[#This Row],[Quotation Type]],1),"/", LEFT(Table2[[#This Row],[Branch]],1),"/", RIGHT(YEAR(TODAY()),2), "/",Table2[[#This Row],[Seq. Number]])</f>
        <v>Q/A/P/26/665</v>
      </c>
      <c r="F492" s="3" t="str">
        <v>Diamar</v>
      </c>
      <c r="G492" s="3" t="str">
        <v>Aya Zanoubya</v>
      </c>
      <c r="J492" s="3" t="str">
        <v>Observator</v>
      </c>
    </row>
    <row r="493">
      <c r="A493" s="3">
        <v>45356</v>
      </c>
      <c r="B493" s="3" t="str">
        <v>A:Addition</v>
      </c>
      <c r="C493" s="3" t="str">
        <v>H:Hull</v>
      </c>
      <c r="D493" s="3">
        <f>D492+1</f>
        <v>666</v>
      </c>
      <c r="E493" s="3" t="str">
        <f>CONCAT("Q","/",LEFT(Table2[[#This Row],[Quotation Type]],1),"/", LEFT(Table2[[#This Row],[Branch]],1),"/", RIGHT(YEAR(TODAY()),2), "/",Table2[[#This Row],[Seq. Number]])</f>
        <v>Q/A/H/26/666</v>
      </c>
      <c r="F493" s="3" t="str">
        <v>Ammships Pte Ltd</v>
      </c>
      <c r="G493" s="3" t="str">
        <v>B.P.P 29</v>
      </c>
      <c r="I493" s="3" t="str">
        <v>O/T</v>
      </c>
      <c r="J493" s="3" t="str">
        <v>Orion</v>
      </c>
    </row>
    <row r="494">
      <c r="A494" s="3">
        <v>45357</v>
      </c>
      <c r="B494" s="3" t="str">
        <v>N:New Quotation</v>
      </c>
      <c r="C494" s="3" t="str">
        <v>P:P&amp;I</v>
      </c>
      <c r="D494" s="3">
        <f>D493+1</f>
        <v>667</v>
      </c>
      <c r="E494" s="3" t="str">
        <f>CONCAT("Q","/",LEFT(Table2[[#This Row],[Quotation Type]],1),"/", LEFT(Table2[[#This Row],[Branch]],1),"/", RIGHT(YEAR(TODAY()),2), "/",Table2[[#This Row],[Seq. Number]])</f>
        <v>Q/N/P/26/667</v>
      </c>
      <c r="G494" s="3" t="str">
        <v>Harmony Livestock</v>
      </c>
      <c r="I494" s="3" t="str">
        <v>MLV</v>
      </c>
      <c r="J494" s="3" t="str">
        <v>Direct</v>
      </c>
    </row>
    <row r="495">
      <c r="A495" s="3">
        <v>45357</v>
      </c>
      <c r="B495" s="3" t="str">
        <v>N:New Quotation</v>
      </c>
      <c r="C495" s="3" t="str">
        <v>P:P&amp;I</v>
      </c>
      <c r="D495" s="3">
        <f>D494+1</f>
        <v>668</v>
      </c>
      <c r="E495" s="3" t="str">
        <f>CONCAT("Q","/",LEFT(Table2[[#This Row],[Quotation Type]],1),"/", LEFT(Table2[[#This Row],[Branch]],1),"/", RIGHT(YEAR(TODAY()),2), "/",Table2[[#This Row],[Seq. Number]])</f>
        <v>Q/N/P/26/668</v>
      </c>
      <c r="G495" s="3" t="str">
        <v>Mostafa B</v>
      </c>
      <c r="I495" s="3" t="str">
        <v>MLV</v>
      </c>
      <c r="J495" s="3" t="str">
        <v>Alfamarine</v>
      </c>
    </row>
    <row r="496">
      <c r="A496" s="3">
        <v>45357</v>
      </c>
      <c r="B496" s="3" t="str">
        <v>N:New Quotation</v>
      </c>
      <c r="C496" s="3" t="str">
        <v>H:Hull</v>
      </c>
      <c r="D496" s="3">
        <f>D495+1</f>
        <v>669</v>
      </c>
      <c r="E496" s="3" t="str">
        <f>CONCAT("Q","/",LEFT(Table2[[#This Row],[Quotation Type]],1),"/", LEFT(Table2[[#This Row],[Branch]],1),"/", RIGHT(YEAR(TODAY()),2), "/",Table2[[#This Row],[Seq. Number]])</f>
        <v>Q/N/H/26/669</v>
      </c>
      <c r="F496" s="3" t="str">
        <v>Undine Ship management</v>
      </c>
      <c r="I496" s="3" t="str">
        <v>O/T</v>
      </c>
      <c r="J496" s="3" t="str">
        <v>City</v>
      </c>
    </row>
    <row r="497">
      <c r="A497" s="3">
        <v>45357</v>
      </c>
      <c r="B497" s="3" t="str">
        <v>N:New Quotation</v>
      </c>
      <c r="C497" s="3" t="str">
        <v>W:War</v>
      </c>
      <c r="D497" s="3">
        <f>D496+1</f>
        <v>670</v>
      </c>
      <c r="E497" s="3" t="str">
        <f>CONCAT("Q","/",LEFT(Table2[[#This Row],[Quotation Type]],1),"/", LEFT(Table2[[#This Row],[Branch]],1),"/", RIGHT(YEAR(TODAY()),2), "/",Table2[[#This Row],[Seq. Number]])</f>
        <v>Q/N/W/26/670</v>
      </c>
      <c r="F497" s="3" t="str">
        <v>Undine Ship management</v>
      </c>
      <c r="I497" s="3" t="str">
        <v>O/T</v>
      </c>
      <c r="J497" s="3" t="str">
        <v>City</v>
      </c>
    </row>
    <row r="498">
      <c r="A498" s="3">
        <v>45357</v>
      </c>
      <c r="B498" s="3" t="str">
        <v>A:Addition</v>
      </c>
      <c r="C498" s="3" t="str">
        <v>H:Hull</v>
      </c>
      <c r="D498" s="3">
        <f>D497+1</f>
        <v>671</v>
      </c>
      <c r="E498" s="3" t="str">
        <f>CONCAT("Q","/",LEFT(Table2[[#This Row],[Quotation Type]],1),"/", LEFT(Table2[[#This Row],[Branch]],1),"/", RIGHT(YEAR(TODAY()),2), "/",Table2[[#This Row],[Seq. Number]])</f>
        <v>Q/A/H/26/671</v>
      </c>
      <c r="F498" s="3" t="str">
        <v>Costalina</v>
      </c>
      <c r="G498" s="3" t="str">
        <v>Federal Rideau</v>
      </c>
      <c r="I498" s="3" t="str">
        <v>BC</v>
      </c>
      <c r="J498" s="3" t="str">
        <v>City</v>
      </c>
    </row>
    <row r="499">
      <c r="A499" s="3">
        <v>45359</v>
      </c>
      <c r="B499" s="3" t="str">
        <v>N:New Quotation</v>
      </c>
      <c r="C499" s="3" t="str">
        <v>P:P&amp;I</v>
      </c>
      <c r="D499" s="3">
        <f>D498+1</f>
        <v>672</v>
      </c>
      <c r="E499" s="3" t="str">
        <f>CONCAT("Q","/",LEFT(Table2[[#This Row],[Quotation Type]],1),"/", LEFT(Table2[[#This Row],[Branch]],1),"/", RIGHT(YEAR(TODAY()),2), "/",Table2[[#This Row],[Seq. Number]])</f>
        <v>Q/N/P/26/672</v>
      </c>
      <c r="G499" s="3" t="str">
        <v>Ali S</v>
      </c>
      <c r="I499" s="3" t="str">
        <v>BC</v>
      </c>
      <c r="J499" s="3" t="str">
        <v>Profinsure</v>
      </c>
    </row>
    <row r="500">
      <c r="A500" s="3">
        <v>45359</v>
      </c>
      <c r="B500" s="3" t="str">
        <v>N:New Quotation</v>
      </c>
      <c r="C500" s="3" t="str">
        <v>P:P&amp;I</v>
      </c>
      <c r="D500" s="3">
        <f>D499+1</f>
        <v>673</v>
      </c>
      <c r="E500" s="3" t="str">
        <f>CONCAT("Q","/",LEFT(Table2[[#This Row],[Quotation Type]],1),"/", LEFT(Table2[[#This Row],[Branch]],1),"/", RIGHT(YEAR(TODAY()),2), "/",Table2[[#This Row],[Seq. Number]])</f>
        <v>Q/N/P/26/673</v>
      </c>
      <c r="G500" s="3" t="str">
        <v>PSF Pasifik</v>
      </c>
      <c r="I500" s="3" t="str">
        <v>GC</v>
      </c>
      <c r="J500" s="3" t="str">
        <v>Kuzey</v>
      </c>
    </row>
    <row r="501">
      <c r="A501" s="3">
        <v>45363</v>
      </c>
      <c r="B501" s="3" t="str">
        <v>N:New Quotation</v>
      </c>
      <c r="C501" s="3" t="str">
        <v>V:Voyage</v>
      </c>
      <c r="D501" s="3">
        <f>D500+1</f>
        <v>674</v>
      </c>
      <c r="E501" s="3" t="str">
        <f>CONCAT("Q","/",LEFT(Table2[[#This Row],[Quotation Type]],1),"/", LEFT(Table2[[#This Row],[Branch]],1),"/", RIGHT(YEAR(TODAY()),2), "/",Table2[[#This Row],[Seq. Number]])</f>
        <v>Q/N/V/26/674</v>
      </c>
      <c r="G501" s="3" t="str">
        <v>Dahar 12</v>
      </c>
      <c r="J501" s="3" t="str">
        <v>IPIC</v>
      </c>
    </row>
    <row r="502">
      <c r="A502" s="3">
        <v>45419</v>
      </c>
      <c r="B502" s="3" t="str">
        <v>N:New Quotation</v>
      </c>
      <c r="C502" s="3" t="str">
        <v>H:Hull</v>
      </c>
      <c r="D502" s="3">
        <f>D501+1</f>
        <v>675</v>
      </c>
      <c r="E502" s="3" t="str">
        <f>CONCAT("Q","/",LEFT(Table2[[#This Row],[Quotation Type]],1),"/", LEFT(Table2[[#This Row],[Branch]],1),"/", RIGHT(YEAR(TODAY()),2), "/",Table2[[#This Row],[Seq. Number]])</f>
        <v>Q/N/H/26/675</v>
      </c>
      <c r="G502" s="3" t="str">
        <v>Sinjab</v>
      </c>
      <c r="J502" s="3" t="str">
        <v>IPIC</v>
      </c>
    </row>
    <row r="503">
      <c r="A503" s="3">
        <v>45419</v>
      </c>
      <c r="B503" s="3" t="str">
        <v>R:Renewal</v>
      </c>
      <c r="C503" s="3" t="str">
        <v>H:Hull</v>
      </c>
      <c r="D503" s="3">
        <f>D502+1</f>
        <v>676</v>
      </c>
      <c r="E503" s="3" t="str">
        <f>CONCAT("Q","/",LEFT(Table2[[#This Row],[Quotation Type]],1),"/", LEFT(Table2[[#This Row],[Branch]],1),"/", RIGHT(YEAR(TODAY()),2), "/",Table2[[#This Row],[Seq. Number]])</f>
        <v>Q/R/H/26/676</v>
      </c>
      <c r="G503" s="3" t="str">
        <v>Nivin</v>
      </c>
      <c r="J503" s="3" t="str">
        <v>Direct</v>
      </c>
    </row>
    <row r="504">
      <c r="A504" s="3">
        <v>45419</v>
      </c>
      <c r="B504" s="3" t="str">
        <v>R:Renewal</v>
      </c>
      <c r="C504" s="3" t="str">
        <v>W:War</v>
      </c>
      <c r="D504" s="3">
        <f>D503+1</f>
        <v>677</v>
      </c>
      <c r="E504" s="3" t="str">
        <f>CONCAT("Q","/",LEFT(Table2[[#This Row],[Quotation Type]],1),"/", LEFT(Table2[[#This Row],[Branch]],1),"/", RIGHT(YEAR(TODAY()),2), "/",Table2[[#This Row],[Seq. Number]])</f>
        <v>Q/R/W/26/677</v>
      </c>
      <c r="G504" s="3" t="str">
        <v>Nivin</v>
      </c>
      <c r="J504" s="3" t="str">
        <v>Direct</v>
      </c>
    </row>
    <row r="505">
      <c r="A505" s="3">
        <v>45419</v>
      </c>
      <c r="B505" s="3" t="str">
        <v>R:Renewal</v>
      </c>
      <c r="C505" s="3" t="str">
        <v>P:P&amp;I</v>
      </c>
      <c r="D505" s="3">
        <f>D504+1</f>
        <v>678</v>
      </c>
      <c r="E505" s="3" t="str">
        <f>CONCAT("Q","/",LEFT(Table2[[#This Row],[Quotation Type]],1),"/", LEFT(Table2[[#This Row],[Branch]],1),"/", RIGHT(YEAR(TODAY()),2), "/",Table2[[#This Row],[Seq. Number]])</f>
        <v>Q/R/P/26/678</v>
      </c>
      <c r="G505" s="3" t="str">
        <v>Nivin</v>
      </c>
      <c r="J505" s="3" t="str">
        <v>Direct</v>
      </c>
    </row>
    <row r="506">
      <c r="A506" s="3">
        <v>45419</v>
      </c>
      <c r="B506" s="3" t="str">
        <v>R:Renewal</v>
      </c>
      <c r="C506" s="3" t="str">
        <v>P:P&amp;I</v>
      </c>
      <c r="D506" s="3">
        <f>D505+1</f>
        <v>679</v>
      </c>
      <c r="E506" s="3" t="str">
        <f>CONCAT("Q","/",LEFT(Table2[[#This Row],[Quotation Type]],1),"/", LEFT(Table2[[#This Row],[Branch]],1),"/", RIGHT(YEAR(TODAY()),2), "/",Table2[[#This Row],[Seq. Number]])</f>
        <v>Q/R/P/26/679</v>
      </c>
      <c r="G506" s="3" t="str">
        <v>Adel-I</v>
      </c>
      <c r="J506" s="3" t="str">
        <v>Direct</v>
      </c>
    </row>
    <row r="507">
      <c r="A507" s="3">
        <v>45419</v>
      </c>
      <c r="B507" s="3" t="str">
        <v>N:New Quotation</v>
      </c>
      <c r="C507" s="3" t="str">
        <v>V:Voyage</v>
      </c>
      <c r="D507" s="3">
        <f>D506+1</f>
        <v>680</v>
      </c>
      <c r="E507" s="3" t="str">
        <f>CONCAT("Q","/",LEFT(Table2[[#This Row],[Quotation Type]],1),"/", LEFT(Table2[[#This Row],[Branch]],1),"/", RIGHT(YEAR(TODAY()),2), "/",Table2[[#This Row],[Seq. Number]])</f>
        <v>Q/N/V/26/680</v>
      </c>
      <c r="G507" s="3" t="str">
        <v xml:space="preserve">Mango </v>
      </c>
      <c r="J507" s="3" t="str">
        <v>SSS</v>
      </c>
    </row>
    <row r="508">
      <c r="A508" s="3">
        <v>45420</v>
      </c>
      <c r="B508" s="3" t="str">
        <v>R:Renewal</v>
      </c>
      <c r="C508" s="3" t="str">
        <v>H:Hull</v>
      </c>
      <c r="D508" s="3">
        <f>D507+1</f>
        <v>681</v>
      </c>
      <c r="E508" s="3" t="str">
        <f>CONCAT("Q","/",LEFT(Table2[[#This Row],[Quotation Type]],1),"/", LEFT(Table2[[#This Row],[Branch]],1),"/", RIGHT(YEAR(TODAY()),2), "/",Table2[[#This Row],[Seq. Number]])</f>
        <v>Q/R/H/26/681</v>
      </c>
      <c r="G508" s="3" t="str">
        <v>Costalina</v>
      </c>
      <c r="J508" s="3" t="str">
        <v>City</v>
      </c>
    </row>
    <row r="509">
      <c r="A509" s="3">
        <v>45420</v>
      </c>
      <c r="B509" s="3" t="str">
        <v>R:Renewal</v>
      </c>
      <c r="C509" s="3" t="str">
        <v>W:War</v>
      </c>
      <c r="D509" s="3">
        <f>D508+1</f>
        <v>682</v>
      </c>
      <c r="E509" s="3" t="str">
        <f>CONCAT("Q","/",LEFT(Table2[[#This Row],[Quotation Type]],1),"/", LEFT(Table2[[#This Row],[Branch]],1),"/", RIGHT(YEAR(TODAY()),2), "/",Table2[[#This Row],[Seq. Number]])</f>
        <v>Q/R/W/26/682</v>
      </c>
      <c r="G509" s="3" t="str">
        <v>Costalina</v>
      </c>
      <c r="J509" s="3" t="str">
        <v>City</v>
      </c>
    </row>
    <row r="510">
      <c r="A510" s="3">
        <v>45420</v>
      </c>
      <c r="B510" s="3" t="str">
        <v>R:Renewal</v>
      </c>
      <c r="C510" s="3" t="str">
        <v>H:Hull</v>
      </c>
      <c r="D510" s="3">
        <f>D509+1</f>
        <v>683</v>
      </c>
      <c r="E510" s="3" t="str">
        <f>CONCAT("Q","/",LEFT(Table2[[#This Row],[Quotation Type]],1),"/", LEFT(Table2[[#This Row],[Branch]],1),"/", RIGHT(YEAR(TODAY()),2), "/",Table2[[#This Row],[Seq. Number]])</f>
        <v>Q/R/H/26/683</v>
      </c>
      <c r="G510" s="3" t="str">
        <v>Blue Bay</v>
      </c>
      <c r="J510" s="3" t="str">
        <v>Brandenburg</v>
      </c>
    </row>
    <row r="511">
      <c r="A511" s="3">
        <v>45422</v>
      </c>
      <c r="B511" s="3" t="str">
        <v>R:Renewal</v>
      </c>
      <c r="C511" s="3" t="str">
        <v>P:P&amp;I</v>
      </c>
      <c r="D511" s="3">
        <f>D510+1</f>
        <v>684</v>
      </c>
      <c r="E511" s="3" t="str">
        <f>CONCAT("Q","/",LEFT(Table2[[#This Row],[Quotation Type]],1),"/", LEFT(Table2[[#This Row],[Branch]],1),"/", RIGHT(YEAR(TODAY()),2), "/",Table2[[#This Row],[Seq. Number]])</f>
        <v>Q/R/P/26/684</v>
      </c>
      <c r="F511" s="3" t="str">
        <v>El bassma shippping</v>
      </c>
      <c r="J511" s="3" t="str">
        <v>Ferrari</v>
      </c>
    </row>
    <row r="512">
      <c r="A512" s="3">
        <v>45422</v>
      </c>
      <c r="B512" s="3" t="str">
        <v>A:Addition</v>
      </c>
      <c r="C512" s="3" t="str">
        <v>H:Hull</v>
      </c>
      <c r="D512" s="3">
        <f>D511+1</f>
        <v>685</v>
      </c>
      <c r="E512" s="3" t="str">
        <f>CONCAT("Q","/",LEFT(Table2[[#This Row],[Quotation Type]],1),"/", LEFT(Table2[[#This Row],[Branch]],1),"/", RIGHT(YEAR(TODAY()),2), "/",Table2[[#This Row],[Seq. Number]])</f>
        <v>Q/A/H/26/685</v>
      </c>
      <c r="F512" s="3" t="str">
        <v>Med Sea Shipping</v>
      </c>
      <c r="J512" s="3" t="str">
        <v>Ferrari</v>
      </c>
    </row>
    <row r="513">
      <c r="A513" s="3">
        <v>45422</v>
      </c>
      <c r="B513" s="3" t="str">
        <v>N:New Quotation</v>
      </c>
      <c r="C513" s="3" t="str">
        <v>P:P&amp;I</v>
      </c>
      <c r="D513" s="3">
        <f>D512+1</f>
        <v>686</v>
      </c>
      <c r="E513" s="3" t="str">
        <f>CONCAT("Q","/",LEFT(Table2[[#This Row],[Quotation Type]],1),"/", LEFT(Table2[[#This Row],[Branch]],1),"/", RIGHT(YEAR(TODAY()),2), "/",Table2[[#This Row],[Seq. Number]])</f>
        <v>Q/N/P/26/686</v>
      </c>
      <c r="F513" s="3" t="str">
        <v>Cairo Shipping</v>
      </c>
      <c r="J513" s="3" t="str">
        <v>Kuzey</v>
      </c>
    </row>
    <row r="514">
      <c r="A514" s="3">
        <v>45425</v>
      </c>
      <c r="B514" s="3" t="str">
        <v>R:Renewal</v>
      </c>
      <c r="C514" s="3" t="str">
        <v>H:Hull</v>
      </c>
      <c r="D514" s="3">
        <f>D513+1</f>
        <v>687</v>
      </c>
      <c r="E514" s="3" t="str">
        <f>CONCAT("Q","/",LEFT(Table2[[#This Row],[Quotation Type]],1),"/", LEFT(Table2[[#This Row],[Branch]],1),"/", RIGHT(YEAR(TODAY()),2), "/",Table2[[#This Row],[Seq. Number]])</f>
        <v>Q/R/H/26/687</v>
      </c>
      <c r="F514" s="3" t="str">
        <v>Atlantis Maritime</v>
      </c>
      <c r="J514" s="3" t="str">
        <v>Brandenburg</v>
      </c>
    </row>
    <row r="515">
      <c r="A515" s="3">
        <v>45425</v>
      </c>
      <c r="B515" s="3" t="str">
        <v>R:Renewal</v>
      </c>
      <c r="C515" s="3" t="str">
        <v>H:Hull</v>
      </c>
      <c r="D515" s="3">
        <f>D514+1</f>
        <v>688</v>
      </c>
      <c r="E515" s="3" t="str">
        <f>CONCAT("Q","/",LEFT(Table2[[#This Row],[Quotation Type]],1),"/", LEFT(Table2[[#This Row],[Branch]],1),"/", RIGHT(YEAR(TODAY()),2), "/",Table2[[#This Row],[Seq. Number]])</f>
        <v>Q/R/H/26/688</v>
      </c>
      <c r="G515" s="3" t="str">
        <v>Golden Arrow</v>
      </c>
      <c r="J515" s="3" t="str">
        <v>Brandenburg</v>
      </c>
    </row>
    <row r="516">
      <c r="A516" s="3">
        <v>45426</v>
      </c>
      <c r="B516" s="3" t="str">
        <v>A:Addition</v>
      </c>
      <c r="C516" s="3" t="str">
        <v>H:Hull</v>
      </c>
      <c r="D516" s="3">
        <f>D515+1</f>
        <v>689</v>
      </c>
      <c r="E516" s="3" t="str">
        <f>CONCAT("Q","/",LEFT(Table2[[#This Row],[Quotation Type]],1),"/", LEFT(Table2[[#This Row],[Branch]],1),"/", RIGHT(YEAR(TODAY()),2), "/",Table2[[#This Row],[Seq. Number]])</f>
        <v>Q/A/H/26/689</v>
      </c>
      <c r="F516" s="3" t="str">
        <v>RTSS</v>
      </c>
      <c r="J516" s="3" t="str">
        <v>City</v>
      </c>
    </row>
    <row r="517">
      <c r="A517" s="3">
        <v>45426</v>
      </c>
      <c r="B517" s="3" t="str">
        <v>A:Addition</v>
      </c>
      <c r="C517" s="3" t="str">
        <v>P:P&amp;I</v>
      </c>
      <c r="D517" s="3">
        <f>D516+1</f>
        <v>690</v>
      </c>
      <c r="E517" s="3" t="str">
        <f>CONCAT("Q","/",LEFT(Table2[[#This Row],[Quotation Type]],1),"/", LEFT(Table2[[#This Row],[Branch]],1),"/", RIGHT(YEAR(TODAY()),2), "/",Table2[[#This Row],[Seq. Number]])</f>
        <v>Q/A/P/26/690</v>
      </c>
      <c r="F517" s="3" t="str">
        <v>RTSS</v>
      </c>
      <c r="J517" s="3" t="str">
        <v>City</v>
      </c>
    </row>
    <row r="518">
      <c r="A518" s="3">
        <v>45426</v>
      </c>
      <c r="B518" s="3" t="str">
        <v>N:New Quotation</v>
      </c>
      <c r="C518" s="3" t="str">
        <v>P:P&amp;I</v>
      </c>
      <c r="D518" s="3">
        <f>D517+1</f>
        <v>691</v>
      </c>
      <c r="E518" s="3" t="str">
        <f>CONCAT("Q","/",LEFT(Table2[[#This Row],[Quotation Type]],1),"/", LEFT(Table2[[#This Row],[Branch]],1),"/", RIGHT(YEAR(TODAY()),2), "/",Table2[[#This Row],[Seq. Number]])</f>
        <v>Q/N/P/26/691</v>
      </c>
      <c r="F518" s="3" t="str">
        <v>Soylu Shipping</v>
      </c>
      <c r="J518" s="3" t="str">
        <v>Kuzey</v>
      </c>
    </row>
    <row r="519">
      <c r="A519" s="3">
        <v>45427</v>
      </c>
      <c r="B519" s="3" t="str">
        <v>A:Addition</v>
      </c>
      <c r="C519" s="3" t="str">
        <v>W:War</v>
      </c>
      <c r="D519" s="3">
        <f>D518+1</f>
        <v>692</v>
      </c>
      <c r="E519" s="3" t="str">
        <f>CONCAT("Q","/",LEFT(Table2[[#This Row],[Quotation Type]],1),"/", LEFT(Table2[[#This Row],[Branch]],1),"/", RIGHT(YEAR(TODAY()),2), "/",Table2[[#This Row],[Seq. Number]])</f>
        <v>Q/A/W/26/692</v>
      </c>
      <c r="F519" s="3" t="str">
        <v>RTSS</v>
      </c>
      <c r="J519" s="3" t="str">
        <v>City</v>
      </c>
    </row>
    <row r="520">
      <c r="A520" s="3">
        <v>45428</v>
      </c>
      <c r="B520" s="3" t="str">
        <v>N:New Quotation</v>
      </c>
      <c r="C520" s="3" t="str">
        <v>V:Voyage</v>
      </c>
      <c r="D520" s="3">
        <f>D519+1</f>
        <v>693</v>
      </c>
      <c r="E520" s="3" t="str">
        <f>CONCAT("Q","/",LEFT(Table2[[#This Row],[Quotation Type]],1),"/", LEFT(Table2[[#This Row],[Branch]],1),"/", RIGHT(YEAR(TODAY()),2), "/",Table2[[#This Row],[Seq. Number]])</f>
        <v>Q/N/V/26/693</v>
      </c>
      <c r="G520" s="3" t="str">
        <v>Yo-Yo</v>
      </c>
      <c r="I520" s="3" t="str">
        <v>Dredger</v>
      </c>
      <c r="J520" s="3" t="str">
        <v>Kominsur</v>
      </c>
    </row>
    <row r="521">
      <c r="A521" s="3">
        <v>45428</v>
      </c>
      <c r="B521" s="3" t="str">
        <v>N:New Quotation</v>
      </c>
      <c r="C521" s="3" t="str">
        <v>P:P&amp;I</v>
      </c>
      <c r="D521" s="3">
        <f>D520+1</f>
        <v>694</v>
      </c>
      <c r="E521" s="3" t="str">
        <f>CONCAT("Q","/",LEFT(Table2[[#This Row],[Quotation Type]],1),"/", LEFT(Table2[[#This Row],[Branch]],1),"/", RIGHT(YEAR(TODAY()),2), "/",Table2[[#This Row],[Seq. Number]])</f>
        <v>Q/N/P/26/694</v>
      </c>
      <c r="G521" s="3" t="str">
        <v>Noble 1</v>
      </c>
      <c r="J521" s="3" t="str">
        <v>Direct</v>
      </c>
    </row>
    <row r="522">
      <c r="A522" s="3">
        <v>45429</v>
      </c>
      <c r="B522" s="3" t="str">
        <v>N:New Quotation</v>
      </c>
      <c r="C522" s="3" t="str">
        <v>P:P&amp;I</v>
      </c>
      <c r="D522" s="3">
        <f>D521+1</f>
        <v>695</v>
      </c>
      <c r="E522" s="3" t="str">
        <f>CONCAT("Q","/",LEFT(Table2[[#This Row],[Quotation Type]],1),"/", LEFT(Table2[[#This Row],[Branch]],1),"/", RIGHT(YEAR(TODAY()),2), "/",Table2[[#This Row],[Seq. Number]])</f>
        <v>Q/N/P/26/695</v>
      </c>
      <c r="G522" s="3" t="str">
        <v>Konak</v>
      </c>
      <c r="J522" s="3" t="str">
        <v>Kuzey</v>
      </c>
    </row>
    <row r="523">
      <c r="A523" s="3">
        <v>45429</v>
      </c>
      <c r="B523" s="3" t="str">
        <v>N:New Quotation</v>
      </c>
      <c r="C523" s="3" t="str">
        <v>H:Hull</v>
      </c>
      <c r="D523" s="3">
        <f>D522+1</f>
        <v>696</v>
      </c>
      <c r="E523" s="3" t="str">
        <f>CONCAT("Q","/",LEFT(Table2[[#This Row],[Quotation Type]],1),"/", LEFT(Table2[[#This Row],[Branch]],1),"/", RIGHT(YEAR(TODAY()),2), "/",Table2[[#This Row],[Seq. Number]])</f>
        <v>Q/N/H/26/696</v>
      </c>
      <c r="F523" s="3" t="str">
        <v>Tramorya Shipping</v>
      </c>
      <c r="J523" s="3" t="str">
        <v>Kuzey</v>
      </c>
    </row>
    <row r="524">
      <c r="A524" s="3">
        <v>45432</v>
      </c>
      <c r="B524" s="3" t="str">
        <v>R:Renewal</v>
      </c>
      <c r="C524" s="3" t="str">
        <v>H:Hull</v>
      </c>
      <c r="D524" s="3">
        <f>D523+1</f>
        <v>697</v>
      </c>
      <c r="E524" s="3" t="str">
        <f>CONCAT("Q","/",LEFT(Table2[[#This Row],[Quotation Type]],1),"/", LEFT(Table2[[#This Row],[Branch]],1),"/", RIGHT(YEAR(TODAY()),2), "/",Table2[[#This Row],[Seq. Number]])</f>
        <v>Q/R/H/26/697</v>
      </c>
      <c r="G524" s="3" t="str">
        <v>Al Farouk</v>
      </c>
      <c r="I524" s="3" t="str">
        <v>MLV</v>
      </c>
      <c r="J524" s="3" t="str">
        <v>Direct</v>
      </c>
    </row>
    <row r="525">
      <c r="A525" s="3">
        <v>45432</v>
      </c>
      <c r="B525" s="3" t="str">
        <v>R:Renewal</v>
      </c>
      <c r="C525" s="3" t="str">
        <v>P:P&amp;I</v>
      </c>
      <c r="D525" s="3">
        <f>D524+1</f>
        <v>698</v>
      </c>
      <c r="E525" s="3" t="str">
        <f>CONCAT("Q","/",LEFT(Table2[[#This Row],[Quotation Type]],1),"/", LEFT(Table2[[#This Row],[Branch]],1),"/", RIGHT(YEAR(TODAY()),2), "/",Table2[[#This Row],[Seq. Number]])</f>
        <v>Q/R/P/26/698</v>
      </c>
      <c r="G525" s="3" t="str">
        <v>Al Farouk</v>
      </c>
      <c r="I525" s="3" t="str">
        <v>MLV</v>
      </c>
      <c r="J525" s="3" t="str">
        <v>Direct</v>
      </c>
    </row>
    <row r="526">
      <c r="A526" s="3">
        <v>45433</v>
      </c>
      <c r="B526" s="3" t="str">
        <v>N:New Quotation</v>
      </c>
      <c r="C526" s="3" t="str">
        <v>H:Hull</v>
      </c>
      <c r="D526" s="3">
        <f>D525+1</f>
        <v>699</v>
      </c>
      <c r="E526" s="3" t="str">
        <f>CONCAT("Q","/",LEFT(Table2[[#This Row],[Quotation Type]],1),"/", LEFT(Table2[[#This Row],[Branch]],1),"/", RIGHT(YEAR(TODAY()),2), "/",Table2[[#This Row],[Seq. Number]])</f>
        <v>Q/N/H/26/699</v>
      </c>
      <c r="F526" s="3" t="str">
        <v>Capramar</v>
      </c>
      <c r="I526" s="3" t="str">
        <v>GC</v>
      </c>
      <c r="J526" s="3" t="str">
        <v>Ferrari</v>
      </c>
    </row>
    <row r="527">
      <c r="A527" s="3">
        <v>45434</v>
      </c>
      <c r="B527" s="3" t="str">
        <v>R:Renewal</v>
      </c>
      <c r="C527" s="3" t="str">
        <v>H:Hull</v>
      </c>
      <c r="D527" s="3">
        <f>D526+1</f>
        <v>700</v>
      </c>
      <c r="E527" s="3" t="str">
        <f>CONCAT("Q","/",LEFT(Table2[[#This Row],[Quotation Type]],1),"/", LEFT(Table2[[#This Row],[Branch]],1),"/", RIGHT(YEAR(TODAY()),2), "/",Table2[[#This Row],[Seq. Number]])</f>
        <v>Q/R/H/26/700</v>
      </c>
      <c r="F527" s="3" t="str">
        <v>Costalina</v>
      </c>
      <c r="J527" s="3" t="str">
        <v>City</v>
      </c>
    </row>
    <row r="528">
      <c r="A528" s="3">
        <v>45435</v>
      </c>
      <c r="B528" s="3" t="str">
        <v>N:New Quotation</v>
      </c>
      <c r="C528" s="3" t="str">
        <v>P:P&amp;I</v>
      </c>
      <c r="D528" s="3">
        <f>D527+1</f>
        <v>701</v>
      </c>
      <c r="E528" s="3" t="str">
        <f>CONCAT("Q","/",LEFT(Table2[[#This Row],[Quotation Type]],1),"/", LEFT(Table2[[#This Row],[Branch]],1),"/", RIGHT(YEAR(TODAY()),2), "/",Table2[[#This Row],[Seq. Number]])</f>
        <v>Q/N/P/26/701</v>
      </c>
      <c r="G528" s="3" t="str">
        <v>Sonic</v>
      </c>
      <c r="I528" s="3" t="str">
        <v>GC</v>
      </c>
      <c r="J528" s="3" t="str">
        <v>Direct</v>
      </c>
    </row>
    <row r="529">
      <c r="A529" s="3">
        <v>45436</v>
      </c>
      <c r="B529" s="3" t="str">
        <v>R:Renewal</v>
      </c>
      <c r="C529" s="3" t="str">
        <v>P:P&amp;I</v>
      </c>
      <c r="D529" s="3">
        <f>D528+1</f>
        <v>702</v>
      </c>
      <c r="E529" s="3" t="str">
        <f>CONCAT("Q","/",LEFT(Table2[[#This Row],[Quotation Type]],1),"/", LEFT(Table2[[#This Row],[Branch]],1),"/", RIGHT(YEAR(TODAY()),2), "/",Table2[[#This Row],[Seq. Number]])</f>
        <v>Q/R/P/26/702</v>
      </c>
      <c r="G529" s="3" t="str">
        <v>Punta Fewell</v>
      </c>
      <c r="I529" s="3" t="str">
        <v>Tug</v>
      </c>
      <c r="J529" s="3" t="str">
        <v>SSS</v>
      </c>
    </row>
    <row r="530">
      <c r="A530" s="3">
        <v>45436</v>
      </c>
      <c r="B530" s="3" t="str">
        <v>N:New Quotation</v>
      </c>
      <c r="C530" s="3" t="str">
        <v>P:P&amp;I</v>
      </c>
      <c r="D530" s="3">
        <f>D529+1</f>
        <v>703</v>
      </c>
      <c r="E530" s="3" t="str">
        <f>CONCAT("Q","/",LEFT(Table2[[#This Row],[Quotation Type]],1),"/", LEFT(Table2[[#This Row],[Branch]],1),"/", RIGHT(YEAR(TODAY()),2), "/",Table2[[#This Row],[Seq. Number]])</f>
        <v>Q/N/P/26/703</v>
      </c>
      <c r="F530" s="3" t="str">
        <v>Al Jabri Shipping</v>
      </c>
      <c r="I530" s="3" t="str">
        <v>MLV</v>
      </c>
      <c r="J530" s="3" t="str">
        <v>Direct</v>
      </c>
    </row>
    <row r="531">
      <c r="A531" s="3">
        <v>45436</v>
      </c>
      <c r="B531" s="3" t="str">
        <v>N:New Quotation</v>
      </c>
      <c r="C531" s="3" t="str">
        <v>H:Hull</v>
      </c>
      <c r="D531" s="3">
        <f>D530+1</f>
        <v>704</v>
      </c>
      <c r="E531" s="3" t="str">
        <f>CONCAT("Q","/",LEFT(Table2[[#This Row],[Quotation Type]],1),"/", LEFT(Table2[[#This Row],[Branch]],1),"/", RIGHT(YEAR(TODAY()),2), "/",Table2[[#This Row],[Seq. Number]])</f>
        <v>Q/N/H/26/704</v>
      </c>
      <c r="F531" s="3" t="str">
        <v>Al Jabri Shipping</v>
      </c>
      <c r="G531" s="3" t="str">
        <v>AlKhairat 9</v>
      </c>
      <c r="I531" s="3" t="str">
        <v>MLV</v>
      </c>
      <c r="J531" s="3" t="str">
        <v>Direct</v>
      </c>
    </row>
    <row r="532">
      <c r="A532" s="3">
        <v>45436</v>
      </c>
      <c r="B532" s="3" t="str">
        <v>N:New Quotation</v>
      </c>
      <c r="C532" s="3" t="str">
        <v>F:FD&amp;D</v>
      </c>
      <c r="D532" s="3">
        <f>D531+1</f>
        <v>705</v>
      </c>
      <c r="E532" s="3" t="str">
        <f>CONCAT("Q","/",LEFT(Table2[[#This Row],[Quotation Type]],1),"/", LEFT(Table2[[#This Row],[Branch]],1),"/", RIGHT(YEAR(TODAY()),2), "/",Table2[[#This Row],[Seq. Number]])</f>
        <v>Q/N/F/26/705</v>
      </c>
      <c r="F532" s="3" t="str">
        <v>Al Jabri Shipping</v>
      </c>
      <c r="I532" s="3" t="str">
        <v>MLV</v>
      </c>
      <c r="J532" s="3" t="str">
        <v>Direct</v>
      </c>
    </row>
    <row r="533">
      <c r="A533" s="3">
        <v>45436</v>
      </c>
      <c r="B533" s="3" t="str">
        <v>R:Renewal</v>
      </c>
      <c r="C533" s="3" t="str">
        <v>H:Hull</v>
      </c>
      <c r="D533" s="3">
        <f>D532+1</f>
        <v>706</v>
      </c>
      <c r="E533" s="3" t="str">
        <f>CONCAT("Q","/",LEFT(Table2[[#This Row],[Quotation Type]],1),"/", LEFT(Table2[[#This Row],[Branch]],1),"/", RIGHT(YEAR(TODAY()),2), "/",Table2[[#This Row],[Seq. Number]])</f>
        <v>Q/R/H/26/706</v>
      </c>
      <c r="G533" s="3" t="str">
        <v>Mykonos 3</v>
      </c>
      <c r="J533" s="3" t="str">
        <v>Velos</v>
      </c>
    </row>
    <row r="534">
      <c r="A534" s="3">
        <v>45436</v>
      </c>
      <c r="B534" s="3" t="str">
        <v>R:Renewal</v>
      </c>
      <c r="C534" s="3" t="str">
        <v>H:Hull</v>
      </c>
      <c r="D534" s="3">
        <f>D533+1</f>
        <v>707</v>
      </c>
      <c r="E534" s="3" t="str">
        <f>CONCAT("Q","/",LEFT(Table2[[#This Row],[Quotation Type]],1),"/", LEFT(Table2[[#This Row],[Branch]],1),"/", RIGHT(YEAR(TODAY()),2), "/",Table2[[#This Row],[Seq. Number]])</f>
        <v>Q/R/H/26/707</v>
      </c>
      <c r="F534" s="3" t="str">
        <v>Med Sea Shipping</v>
      </c>
      <c r="J534" s="3" t="str">
        <v>Mesco</v>
      </c>
    </row>
    <row r="535">
      <c r="A535" s="3">
        <v>45436</v>
      </c>
      <c r="B535" s="3" t="str">
        <v>R:Renewal</v>
      </c>
      <c r="C535" s="3" t="str">
        <v>W:War</v>
      </c>
      <c r="D535" s="3">
        <f>D534+1</f>
        <v>708</v>
      </c>
      <c r="E535" s="3" t="str">
        <f>CONCAT("Q","/",LEFT(Table2[[#This Row],[Quotation Type]],1),"/", LEFT(Table2[[#This Row],[Branch]],1),"/", RIGHT(YEAR(TODAY()),2), "/",Table2[[#This Row],[Seq. Number]])</f>
        <v>Q/R/W/26/708</v>
      </c>
      <c r="F535" s="3" t="str">
        <v>Med Sea Shipping</v>
      </c>
      <c r="J535" s="3" t="str">
        <v>Mesco</v>
      </c>
    </row>
    <row r="536">
      <c r="A536" s="3">
        <v>45439</v>
      </c>
      <c r="B536" s="3" t="str">
        <v>N:New Quotation</v>
      </c>
      <c r="C536" s="3" t="str">
        <v>H:Hull</v>
      </c>
      <c r="D536" s="3">
        <f>D535+1</f>
        <v>709</v>
      </c>
      <c r="E536" s="3" t="str">
        <f>CONCAT("Q","/",LEFT(Table2[[#This Row],[Quotation Type]],1),"/", LEFT(Table2[[#This Row],[Branch]],1),"/", RIGHT(YEAR(TODAY()),2), "/",Table2[[#This Row],[Seq. Number]])</f>
        <v>Q/N/H/26/709</v>
      </c>
      <c r="G536" s="3" t="str">
        <v>IL CO</v>
      </c>
      <c r="I536" s="3" t="str">
        <v>Barge</v>
      </c>
      <c r="J536" s="3" t="str">
        <v>IPIC</v>
      </c>
    </row>
    <row r="537">
      <c r="A537" s="3">
        <v>45440</v>
      </c>
      <c r="B537" s="3" t="str">
        <v>A:Addition</v>
      </c>
      <c r="C537" s="3" t="str">
        <v>W:War</v>
      </c>
      <c r="D537" s="3">
        <f>D536+1</f>
        <v>710</v>
      </c>
      <c r="E537" s="3" t="str">
        <f>CONCAT("Q","/",LEFT(Table2[[#This Row],[Quotation Type]],1),"/", LEFT(Table2[[#This Row],[Branch]],1),"/", RIGHT(YEAR(TODAY()),2), "/",Table2[[#This Row],[Seq. Number]])</f>
        <v>Q/A/W/26/710</v>
      </c>
      <c r="G537" s="3" t="str">
        <v>Akdeniz</v>
      </c>
      <c r="J537" s="3" t="str">
        <v>Kuzey</v>
      </c>
    </row>
    <row r="538">
      <c r="A538" s="3">
        <v>45441</v>
      </c>
      <c r="B538" s="3" t="str">
        <v>R:Renewal</v>
      </c>
      <c r="C538" s="3" t="str">
        <v>H:Hull</v>
      </c>
      <c r="D538" s="3">
        <f>D537+1</f>
        <v>711</v>
      </c>
      <c r="E538" s="3" t="str">
        <f>CONCAT("Q","/",LEFT(Table2[[#This Row],[Quotation Type]],1),"/", LEFT(Table2[[#This Row],[Branch]],1),"/", RIGHT(YEAR(TODAY()),2), "/",Table2[[#This Row],[Seq. Number]])</f>
        <v>Q/R/H/26/711</v>
      </c>
      <c r="G538" s="3" t="str">
        <v>North Star 1</v>
      </c>
      <c r="I538" s="3" t="str">
        <v>MLV</v>
      </c>
      <c r="J538" s="3" t="str">
        <v>Direct</v>
      </c>
    </row>
    <row r="539">
      <c r="A539" s="3">
        <v>45441</v>
      </c>
      <c r="B539" s="3" t="str">
        <v>R:Renewal</v>
      </c>
      <c r="C539" s="3" t="str">
        <v>P:P&amp;I</v>
      </c>
      <c r="D539" s="3">
        <f>D538+1</f>
        <v>712</v>
      </c>
      <c r="E539" s="3" t="str">
        <f>CONCAT("Q","/",LEFT(Table2[[#This Row],[Quotation Type]],1),"/", LEFT(Table2[[#This Row],[Branch]],1),"/", RIGHT(YEAR(TODAY()),2), "/",Table2[[#This Row],[Seq. Number]])</f>
        <v>Q/R/P/26/712</v>
      </c>
      <c r="G539" s="3" t="str">
        <v>North Star 1</v>
      </c>
      <c r="I539" s="3" t="str">
        <v>MLV</v>
      </c>
      <c r="J539" s="3" t="str">
        <v>Direct</v>
      </c>
    </row>
    <row r="540">
      <c r="A540" s="3">
        <v>45441</v>
      </c>
      <c r="B540" s="3" t="str">
        <v>N:New Quotation</v>
      </c>
      <c r="C540" s="3" t="str">
        <v>H:Hull</v>
      </c>
      <c r="D540" s="3">
        <f>D539+1</f>
        <v>713</v>
      </c>
      <c r="E540" s="3" t="str">
        <f>CONCAT("Q","/",LEFT(Table2[[#This Row],[Quotation Type]],1),"/", LEFT(Table2[[#This Row],[Branch]],1),"/", RIGHT(YEAR(TODAY()),2), "/",Table2[[#This Row],[Seq. Number]])</f>
        <v>Q/N/H/26/713</v>
      </c>
      <c r="G540" s="3" t="str">
        <v>H M</v>
      </c>
      <c r="I540" s="3" t="str">
        <v>GC</v>
      </c>
      <c r="J540" s="3" t="str">
        <v>Shady Saab</v>
      </c>
    </row>
    <row r="541">
      <c r="A541" s="3">
        <v>45441</v>
      </c>
      <c r="B541" s="3" t="str">
        <v>N:New Quotation</v>
      </c>
      <c r="C541" s="3" t="str">
        <v>P:P&amp;I</v>
      </c>
      <c r="D541" s="3">
        <f>D540+1</f>
        <v>714</v>
      </c>
      <c r="E541" s="3" t="str">
        <f>CONCAT("Q","/",LEFT(Table2[[#This Row],[Quotation Type]],1),"/", LEFT(Table2[[#This Row],[Branch]],1),"/", RIGHT(YEAR(TODAY()),2), "/",Table2[[#This Row],[Seq. Number]])</f>
        <v>Q/N/P/26/714</v>
      </c>
      <c r="G541" s="3" t="str">
        <v>H M</v>
      </c>
      <c r="I541" s="3" t="str">
        <v>GC</v>
      </c>
      <c r="J541" s="3" t="str">
        <v>Shady Saab</v>
      </c>
    </row>
    <row r="542">
      <c r="A542" s="3">
        <v>45441</v>
      </c>
      <c r="B542" s="3" t="str">
        <v>N:New Quotation</v>
      </c>
      <c r="C542" s="3" t="str">
        <v>H:Hull</v>
      </c>
      <c r="D542" s="3">
        <f>D541+1</f>
        <v>715</v>
      </c>
      <c r="E542" s="3" t="str">
        <f>CONCAT("Q","/",LEFT(Table2[[#This Row],[Quotation Type]],1),"/", LEFT(Table2[[#This Row],[Branch]],1),"/", RIGHT(YEAR(TODAY()),2), "/",Table2[[#This Row],[Seq. Number]])</f>
        <v>Q/N/H/26/715</v>
      </c>
      <c r="G542" s="3" t="str">
        <v>Mila Sirena</v>
      </c>
      <c r="I542" s="3" t="str">
        <v>Craft</v>
      </c>
      <c r="J542" s="3" t="str">
        <v>Kuzey</v>
      </c>
    </row>
    <row r="543">
      <c r="A543" s="3">
        <v>45442</v>
      </c>
      <c r="B543" s="3" t="str">
        <v>N:New Quotation</v>
      </c>
      <c r="C543" s="3" t="str">
        <v>H:Hull</v>
      </c>
      <c r="D543" s="3">
        <f>D542+1</f>
        <v>716</v>
      </c>
      <c r="E543" s="3" t="str">
        <f>CONCAT("Q","/",LEFT(Table2[[#This Row],[Quotation Type]],1),"/", LEFT(Table2[[#This Row],[Branch]],1),"/", RIGHT(YEAR(TODAY()),2), "/",Table2[[#This Row],[Seq. Number]])</f>
        <v>Q/N/H/26/716</v>
      </c>
      <c r="G543" s="3" t="str">
        <v>Ruby 2</v>
      </c>
      <c r="I543" s="3" t="str">
        <v>O/T</v>
      </c>
      <c r="J543" s="3" t="str">
        <v>IPIC</v>
      </c>
    </row>
    <row r="544">
      <c r="A544" s="3">
        <v>45446</v>
      </c>
      <c r="B544" s="3" t="str">
        <v>R:Renewal</v>
      </c>
      <c r="C544" s="3" t="str">
        <v>W:War</v>
      </c>
      <c r="D544" s="3">
        <f>D543+1</f>
        <v>717</v>
      </c>
      <c r="E544" s="3" t="str">
        <f>CONCAT("Q","/",LEFT(Table2[[#This Row],[Quotation Type]],1),"/", LEFT(Table2[[#This Row],[Branch]],1),"/", RIGHT(YEAR(TODAY()),2), "/",Table2[[#This Row],[Seq. Number]])</f>
        <v>Q/R/W/26/717</v>
      </c>
      <c r="F544" s="3" t="str">
        <v>Atlantis Maritime</v>
      </c>
      <c r="J544" s="3" t="str">
        <v>Brandenburg</v>
      </c>
    </row>
    <row r="545">
      <c r="A545" s="3">
        <v>45446</v>
      </c>
      <c r="B545" s="3" t="str">
        <v>N:New Quotation</v>
      </c>
      <c r="C545" s="3" t="str">
        <v>P:P&amp;I</v>
      </c>
      <c r="D545" s="3">
        <f>D544+1</f>
        <v>718</v>
      </c>
      <c r="E545" s="3" t="str">
        <f>CONCAT("Q","/",LEFT(Table2[[#This Row],[Quotation Type]],1),"/", LEFT(Table2[[#This Row],[Branch]],1),"/", RIGHT(YEAR(TODAY()),2), "/",Table2[[#This Row],[Seq. Number]])</f>
        <v>Q/N/P/26/718</v>
      </c>
      <c r="G545" s="3" t="str">
        <v>Queen Star</v>
      </c>
      <c r="J545" s="3" t="str">
        <v>Mesco</v>
      </c>
    </row>
    <row r="546">
      <c r="A546" s="3">
        <v>45447</v>
      </c>
      <c r="B546" s="3" t="str">
        <v>A:Addition</v>
      </c>
      <c r="C546" s="3" t="str">
        <v>P:P&amp;I</v>
      </c>
      <c r="D546" s="3">
        <f>D545+1</f>
        <v>719</v>
      </c>
      <c r="E546" s="3" t="str">
        <f>CONCAT("Q","/",LEFT(Table2[[#This Row],[Quotation Type]],1),"/", LEFT(Table2[[#This Row],[Branch]],1),"/", RIGHT(YEAR(TODAY()),2), "/",Table2[[#This Row],[Seq. Number]])</f>
        <v>Q/A/P/26/719</v>
      </c>
      <c r="G546" s="3" t="str">
        <v>Ous Brave</v>
      </c>
      <c r="I546" s="3" t="str">
        <v>GC</v>
      </c>
      <c r="J546" s="3" t="str">
        <v>Alfamarine</v>
      </c>
    </row>
    <row r="547">
      <c r="A547" s="3">
        <v>45447</v>
      </c>
      <c r="B547" s="3" t="str">
        <v>N:New Quotation</v>
      </c>
      <c r="C547" s="3" t="str">
        <v>P:P&amp;I</v>
      </c>
      <c r="D547" s="3">
        <f>D546+1</f>
        <v>720</v>
      </c>
      <c r="E547" s="3" t="str">
        <f>CONCAT("Q","/",LEFT(Table2[[#This Row],[Quotation Type]],1),"/", LEFT(Table2[[#This Row],[Branch]],1),"/", RIGHT(YEAR(TODAY()),2), "/",Table2[[#This Row],[Seq. Number]])</f>
        <v>Q/N/P/26/720</v>
      </c>
      <c r="G547" s="3" t="str">
        <v>Starlet</v>
      </c>
      <c r="I547" s="3" t="str">
        <v>GC</v>
      </c>
      <c r="J547" s="3" t="str">
        <v>Kuzey</v>
      </c>
    </row>
    <row r="548">
      <c r="A548" s="3">
        <v>45447</v>
      </c>
      <c r="B548" s="3" t="str">
        <v>N:New Quotation</v>
      </c>
      <c r="C548" s="3" t="str">
        <v>H:Hull</v>
      </c>
      <c r="D548" s="3">
        <f>D547+1</f>
        <v>721</v>
      </c>
      <c r="E548" s="3" t="str">
        <f>CONCAT("Q","/",LEFT(Table2[[#This Row],[Quotation Type]],1),"/", LEFT(Table2[[#This Row],[Branch]],1),"/", RIGHT(YEAR(TODAY()),2), "/",Table2[[#This Row],[Seq. Number]])</f>
        <v>Q/N/H/26/721</v>
      </c>
      <c r="G548" s="3" t="str">
        <v>Oceanic II</v>
      </c>
      <c r="I548" s="3" t="str">
        <v>O/T</v>
      </c>
      <c r="J548" s="3" t="str">
        <v>IPIC</v>
      </c>
    </row>
    <row r="549">
      <c r="A549" s="3">
        <v>45447</v>
      </c>
      <c r="B549" s="3" t="str">
        <v>N:New Quotation</v>
      </c>
      <c r="C549" s="3" t="str">
        <v>H:Hull</v>
      </c>
      <c r="D549" s="3">
        <f>D548+1</f>
        <v>722</v>
      </c>
      <c r="E549" s="3" t="str">
        <f>CONCAT("Q","/",LEFT(Table2[[#This Row],[Quotation Type]],1),"/", LEFT(Table2[[#This Row],[Branch]],1),"/", RIGHT(YEAR(TODAY()),2), "/",Table2[[#This Row],[Seq. Number]])</f>
        <v>Q/N/H/26/722</v>
      </c>
      <c r="G549" s="3" t="str">
        <v>Wanji</v>
      </c>
      <c r="I549" s="3" t="str">
        <v>O/T</v>
      </c>
      <c r="J549" s="3" t="str">
        <v>IPIC</v>
      </c>
    </row>
    <row r="550">
      <c r="A550" s="3">
        <v>45449</v>
      </c>
      <c r="B550" s="3" t="str">
        <v>N:New Quotation</v>
      </c>
      <c r="C550" s="3" t="str">
        <v>H:Hull</v>
      </c>
      <c r="D550" s="3">
        <f>D549+1</f>
        <v>723</v>
      </c>
      <c r="E550" s="3" t="str">
        <f>CONCAT("Q","/",LEFT(Table2[[#This Row],[Quotation Type]],1),"/", LEFT(Table2[[#This Row],[Branch]],1),"/", RIGHT(YEAR(TODAY()),2), "/",Table2[[#This Row],[Seq. Number]])</f>
        <v>Q/N/H/26/723</v>
      </c>
      <c r="G550" s="3" t="str">
        <v>Katerina II</v>
      </c>
      <c r="I550" s="3" t="str">
        <v>O/T</v>
      </c>
      <c r="J550" s="3" t="str">
        <v>Newberry</v>
      </c>
    </row>
    <row r="551">
      <c r="A551" s="3">
        <v>45449</v>
      </c>
      <c r="B551" s="3" t="str">
        <v>R:Renewal</v>
      </c>
      <c r="C551" s="3" t="str">
        <v>H:Hull</v>
      </c>
      <c r="D551" s="3">
        <f>D550+1</f>
        <v>724</v>
      </c>
      <c r="E551" s="3" t="str">
        <f>CONCAT("Q","/",LEFT(Table2[[#This Row],[Quotation Type]],1),"/", LEFT(Table2[[#This Row],[Branch]],1),"/", RIGHT(YEAR(TODAY()),2), "/",Table2[[#This Row],[Seq. Number]])</f>
        <v>Q/R/H/26/724</v>
      </c>
      <c r="F551" s="3" t="str">
        <v>Iktra Shipping</v>
      </c>
      <c r="J551" s="3" t="str">
        <v>IPIC</v>
      </c>
    </row>
    <row r="552">
      <c r="A552" s="3">
        <v>45453</v>
      </c>
      <c r="B552" s="3" t="str">
        <v>N:New Quotation</v>
      </c>
      <c r="C552" s="3" t="str">
        <v>H:Hull</v>
      </c>
      <c r="D552" s="3">
        <f>D551+1</f>
        <v>725</v>
      </c>
      <c r="E552" s="3" t="str">
        <f>CONCAT("Q","/",LEFT(Table2[[#This Row],[Quotation Type]],1),"/", LEFT(Table2[[#This Row],[Branch]],1),"/", RIGHT(YEAR(TODAY()),2), "/",Table2[[#This Row],[Seq. Number]])</f>
        <v>Q/N/H/26/725</v>
      </c>
      <c r="G552" s="3" t="str">
        <v>Nomiki</v>
      </c>
      <c r="I552" s="3" t="str">
        <v>O/T</v>
      </c>
      <c r="J552" s="3" t="str">
        <v>City</v>
      </c>
    </row>
    <row r="553">
      <c r="A553" s="3">
        <v>45454</v>
      </c>
      <c r="B553" s="3" t="str">
        <v>N:New Quotation</v>
      </c>
      <c r="C553" s="3" t="str">
        <v>P:P&amp;I</v>
      </c>
      <c r="D553" s="3">
        <f>D552+1</f>
        <v>726</v>
      </c>
      <c r="E553" s="3" t="str">
        <f>CONCAT("Q","/",LEFT(Table2[[#This Row],[Quotation Type]],1),"/", LEFT(Table2[[#This Row],[Branch]],1),"/", RIGHT(YEAR(TODAY()),2), "/",Table2[[#This Row],[Seq. Number]])</f>
        <v>Q/N/P/26/726</v>
      </c>
      <c r="F553" s="3" t="str">
        <v>Ranyus Navigation</v>
      </c>
      <c r="I553" s="3" t="str">
        <v>GC</v>
      </c>
      <c r="J553" s="3" t="str">
        <v>Direct</v>
      </c>
    </row>
    <row r="554">
      <c r="A554" s="3">
        <v>45456</v>
      </c>
      <c r="B554" s="3" t="str">
        <v>A:Addition</v>
      </c>
      <c r="C554" s="3" t="str">
        <v>H:Hull</v>
      </c>
      <c r="D554" s="3">
        <f>D553+1</f>
        <v>727</v>
      </c>
      <c r="E554" s="3" t="str">
        <f>CONCAT("Q","/",LEFT(Table2[[#This Row],[Quotation Type]],1),"/", LEFT(Table2[[#This Row],[Branch]],1),"/", RIGHT(YEAR(TODAY()),2), "/",Table2[[#This Row],[Seq. Number]])</f>
        <v>Q/A/H/26/727</v>
      </c>
      <c r="F554" s="3" t="str">
        <v>Friends Marine</v>
      </c>
      <c r="I554" s="3" t="str">
        <v>GC</v>
      </c>
      <c r="J554" s="3" t="str">
        <v>Direct</v>
      </c>
    </row>
    <row r="555">
      <c r="A555" s="3">
        <v>45456</v>
      </c>
      <c r="B555" s="3" t="str">
        <v>N:New Quotation</v>
      </c>
      <c r="C555" s="3" t="str">
        <v>H:Hull</v>
      </c>
      <c r="D555" s="3">
        <f>D554+1</f>
        <v>728</v>
      </c>
      <c r="E555" s="3" t="str">
        <f>CONCAT("Q","/",LEFT(Table2[[#This Row],[Quotation Type]],1),"/", LEFT(Table2[[#This Row],[Branch]],1),"/", RIGHT(YEAR(TODAY()),2), "/",Table2[[#This Row],[Seq. Number]])</f>
        <v>Q/N/H/26/728</v>
      </c>
      <c r="F555" s="3" t="str">
        <v>Ranyus Navigation</v>
      </c>
      <c r="I555" s="3" t="str">
        <v>GC</v>
      </c>
      <c r="J555" s="3" t="str">
        <v>Direct</v>
      </c>
    </row>
    <row r="556">
      <c r="A556" s="3">
        <v>45456</v>
      </c>
      <c r="B556" s="3" t="str">
        <v>R:Renewal</v>
      </c>
      <c r="C556" s="3" t="str">
        <v>H:Hull</v>
      </c>
      <c r="D556" s="3">
        <f>D555+1</f>
        <v>729</v>
      </c>
      <c r="E556" s="3" t="str">
        <f>CONCAT("Q","/",LEFT(Table2[[#This Row],[Quotation Type]],1),"/", LEFT(Table2[[#This Row],[Branch]],1),"/", RIGHT(YEAR(TODAY()),2), "/",Table2[[#This Row],[Seq. Number]])</f>
        <v>Q/R/H/26/729</v>
      </c>
      <c r="G556" s="3" t="str">
        <v>Samjin 2</v>
      </c>
      <c r="I556" s="3" t="str">
        <v>O/T</v>
      </c>
      <c r="J556" s="3" t="str">
        <v>Orion</v>
      </c>
    </row>
    <row r="557">
      <c r="A557" s="3">
        <v>45456</v>
      </c>
      <c r="B557" s="3" t="str">
        <v>N:New Quotation</v>
      </c>
      <c r="C557" s="3" t="str">
        <v>H:Hull</v>
      </c>
      <c r="D557" s="3">
        <f>D556+1</f>
        <v>730</v>
      </c>
      <c r="E557" s="3" t="str">
        <f>CONCAT("Q","/",LEFT(Table2[[#This Row],[Quotation Type]],1),"/", LEFT(Table2[[#This Row],[Branch]],1),"/", RIGHT(YEAR(TODAY()),2), "/",Table2[[#This Row],[Seq. Number]])</f>
        <v>Q/N/H/26/730</v>
      </c>
      <c r="G557" s="3" t="str">
        <v>Provincias Unidas</v>
      </c>
      <c r="I557" s="3" t="str">
        <v>Ro-Ro</v>
      </c>
      <c r="J557" s="3" t="str">
        <v>SSS</v>
      </c>
    </row>
    <row r="558">
      <c r="A558" s="3">
        <v>45456</v>
      </c>
      <c r="B558" s="3" t="str">
        <v>N:New Quotation</v>
      </c>
      <c r="C558" s="3" t="str">
        <v>P:P&amp;I</v>
      </c>
      <c r="D558" s="3">
        <f>D557+1</f>
        <v>731</v>
      </c>
      <c r="E558" s="3" t="str">
        <f>CONCAT("Q","/",LEFT(Table2[[#This Row],[Quotation Type]],1),"/", LEFT(Table2[[#This Row],[Branch]],1),"/", RIGHT(YEAR(TODAY()),2), "/",Table2[[#This Row],[Seq. Number]])</f>
        <v>Q/N/P/26/731</v>
      </c>
      <c r="F558" s="3" t="str">
        <v>Alphamoon</v>
      </c>
      <c r="I558" s="3" t="str">
        <v>GC</v>
      </c>
      <c r="J558" s="3" t="str">
        <v>Mesco</v>
      </c>
    </row>
    <row r="559">
      <c r="A559" s="3">
        <v>45457</v>
      </c>
      <c r="B559" s="3" t="str">
        <v>N:New Quotation</v>
      </c>
      <c r="C559" s="3" t="str">
        <v>H:Hull</v>
      </c>
      <c r="D559" s="3">
        <f>D558+1</f>
        <v>732</v>
      </c>
      <c r="E559" s="3" t="str">
        <f>CONCAT("Q","/",LEFT(Table2[[#This Row],[Quotation Type]],1),"/", LEFT(Table2[[#This Row],[Branch]],1),"/", RIGHT(YEAR(TODAY()),2), "/",Table2[[#This Row],[Seq. Number]])</f>
        <v>Q/N/H/26/732</v>
      </c>
      <c r="F559" s="3" t="str">
        <v>Dawn Ship Management</v>
      </c>
      <c r="I559" s="3" t="str">
        <v>O/T</v>
      </c>
      <c r="J559" s="3" t="str">
        <v>Newberry</v>
      </c>
    </row>
    <row r="560">
      <c r="A560" s="3">
        <v>45462</v>
      </c>
      <c r="B560" s="3" t="str">
        <v>N:New Quotation</v>
      </c>
      <c r="C560" s="3" t="str">
        <v>H:Hull</v>
      </c>
      <c r="D560" s="3">
        <f>D559+1</f>
        <v>733</v>
      </c>
      <c r="E560" s="3" t="str">
        <f>CONCAT("Q","/",LEFT(Table2[[#This Row],[Quotation Type]],1),"/", LEFT(Table2[[#This Row],[Branch]],1),"/", RIGHT(YEAR(TODAY()),2), "/",Table2[[#This Row],[Seq. Number]])</f>
        <v>Q/N/H/26/733</v>
      </c>
      <c r="F560" s="3" t="str">
        <v>Delta Corp</v>
      </c>
      <c r="G560" s="3" t="str">
        <v>Minoan Flame</v>
      </c>
      <c r="I560" s="3" t="str">
        <v>BC</v>
      </c>
      <c r="J560" s="3" t="str">
        <v>City</v>
      </c>
    </row>
    <row r="561">
      <c r="A561" s="3">
        <v>45462</v>
      </c>
      <c r="B561" s="3" t="str">
        <v>N:New Quotation</v>
      </c>
      <c r="C561" s="3" t="str">
        <v>H:Hull</v>
      </c>
      <c r="D561" s="3">
        <f>D560+1</f>
        <v>734</v>
      </c>
      <c r="E561" s="3" t="str">
        <f>CONCAT("Q","/",LEFT(Table2[[#This Row],[Quotation Type]],1),"/", LEFT(Table2[[#This Row],[Branch]],1),"/", RIGHT(YEAR(TODAY()),2), "/",Table2[[#This Row],[Seq. Number]])</f>
        <v>Q/N/H/26/734</v>
      </c>
      <c r="G561" s="3" t="str">
        <v>AZ Horizon</v>
      </c>
      <c r="I561" s="3" t="str">
        <v>GC</v>
      </c>
      <c r="J561" s="3" t="str">
        <v>SSS</v>
      </c>
    </row>
    <row r="562">
      <c r="A562" s="3">
        <v>45462</v>
      </c>
      <c r="B562" s="3" t="str">
        <v>N:New Quotation</v>
      </c>
      <c r="C562" s="3" t="str">
        <v>P:P&amp;I</v>
      </c>
      <c r="D562" s="3">
        <f>D561+1</f>
        <v>735</v>
      </c>
      <c r="E562" s="3" t="str">
        <f>CONCAT("Q","/",LEFT(Table2[[#This Row],[Quotation Type]],1),"/", LEFT(Table2[[#This Row],[Branch]],1),"/", RIGHT(YEAR(TODAY()),2), "/",Table2[[#This Row],[Seq. Number]])</f>
        <v>Q/N/P/26/735</v>
      </c>
      <c r="G562" s="3" t="str">
        <v>AZ Horizon</v>
      </c>
      <c r="I562" s="3" t="str">
        <v>GC</v>
      </c>
      <c r="J562" s="3" t="str">
        <v>SSS</v>
      </c>
    </row>
    <row r="563">
      <c r="A563" s="3">
        <v>45462</v>
      </c>
      <c r="B563" s="3" t="str">
        <v>N:New Quotation</v>
      </c>
      <c r="C563" s="3" t="str">
        <v>P:P&amp;I</v>
      </c>
      <c r="D563" s="3">
        <f>D562+1</f>
        <v>736</v>
      </c>
      <c r="E563" s="3" t="str">
        <f>CONCAT("Q","/",LEFT(Table2[[#This Row],[Quotation Type]],1),"/", LEFT(Table2[[#This Row],[Branch]],1),"/", RIGHT(YEAR(TODAY()),2), "/",Table2[[#This Row],[Seq. Number]])</f>
        <v>Q/N/P/26/736</v>
      </c>
      <c r="F563" s="3" t="str">
        <v>Alb Sea Transport SHPK</v>
      </c>
      <c r="I563" s="3" t="str">
        <v>GC</v>
      </c>
      <c r="J563" s="3" t="str">
        <v>Ferrari</v>
      </c>
    </row>
    <row r="564">
      <c r="A564" s="3">
        <v>45462</v>
      </c>
      <c r="B564" s="3" t="str">
        <v>R:Renewal</v>
      </c>
      <c r="C564" s="3" t="str">
        <v>H:Hull</v>
      </c>
      <c r="D564" s="3">
        <f>D563+1</f>
        <v>737</v>
      </c>
      <c r="E564" s="3" t="str">
        <f>CONCAT("Q","/",LEFT(Table2[[#This Row],[Quotation Type]],1),"/", LEFT(Table2[[#This Row],[Branch]],1),"/", RIGHT(YEAR(TODAY()),2), "/",Table2[[#This Row],[Seq. Number]])</f>
        <v>Q/R/H/26/737</v>
      </c>
      <c r="F564" s="3" t="str">
        <v>Brothers Union</v>
      </c>
      <c r="G564" s="3" t="str">
        <v>Expiring value</v>
      </c>
      <c r="I564" s="3" t="str">
        <v>GC</v>
      </c>
      <c r="J564" s="3" t="str">
        <v>Sarnia</v>
      </c>
    </row>
    <row r="565">
      <c r="A565" s="3">
        <v>45462</v>
      </c>
      <c r="B565" s="3" t="str">
        <v>R:Renewal</v>
      </c>
      <c r="C565" s="3" t="str">
        <v>H:Hull</v>
      </c>
      <c r="D565" s="3">
        <f>D564+1</f>
        <v>738</v>
      </c>
      <c r="E565" s="3" t="str">
        <f>CONCAT("Q","/",LEFT(Table2[[#This Row],[Quotation Type]],1),"/", LEFT(Table2[[#This Row],[Branch]],1),"/", RIGHT(YEAR(TODAY()),2), "/",Table2[[#This Row],[Seq. Number]])</f>
        <v>Q/R/H/26/738</v>
      </c>
      <c r="F565" s="3" t="str">
        <v>Brothers Union</v>
      </c>
      <c r="G565" s="3" t="str">
        <v>Market Value</v>
      </c>
      <c r="I565" s="3" t="str">
        <v>GC</v>
      </c>
      <c r="J565" s="3" t="str">
        <v>Sarnia</v>
      </c>
    </row>
    <row r="566">
      <c r="A566" s="3">
        <v>45462</v>
      </c>
      <c r="B566" s="3" t="str">
        <v>R:Renewal</v>
      </c>
      <c r="C566" s="3" t="str">
        <v>H:Hull</v>
      </c>
      <c r="D566" s="3">
        <f>D565+1</f>
        <v>739</v>
      </c>
      <c r="E566" s="3" t="str">
        <f>CONCAT("Q","/",LEFT(Table2[[#This Row],[Quotation Type]],1),"/", LEFT(Table2[[#This Row],[Branch]],1),"/", RIGHT(YEAR(TODAY()),2), "/",Table2[[#This Row],[Seq. Number]])</f>
        <v>Q/R/H/26/739</v>
      </c>
      <c r="F566" s="3" t="str">
        <v>Lightship Management</v>
      </c>
      <c r="G566" s="3" t="str">
        <v>Elza</v>
      </c>
      <c r="I566" s="3" t="str">
        <v>O/T</v>
      </c>
      <c r="J566" s="3" t="str">
        <v>Kominsur</v>
      </c>
    </row>
    <row r="567">
      <c r="A567" s="3">
        <v>45462</v>
      </c>
      <c r="B567" s="3" t="str">
        <v>R:Renewal</v>
      </c>
      <c r="C567" s="3" t="str">
        <v>W:War</v>
      </c>
      <c r="D567" s="3">
        <f>D566+1</f>
        <v>740</v>
      </c>
      <c r="E567" s="3" t="str">
        <f>CONCAT("Q","/",LEFT(Table2[[#This Row],[Quotation Type]],1),"/", LEFT(Table2[[#This Row],[Branch]],1),"/", RIGHT(YEAR(TODAY()),2), "/",Table2[[#This Row],[Seq. Number]])</f>
        <v>Q/R/W/26/740</v>
      </c>
      <c r="F567" s="3" t="str">
        <v>Lightship Management</v>
      </c>
      <c r="G567" s="3" t="str">
        <v>Elza</v>
      </c>
      <c r="I567" s="3" t="str">
        <v>O/T</v>
      </c>
      <c r="J567" s="3" t="str">
        <v>Kominsur</v>
      </c>
    </row>
    <row r="568">
      <c r="A568" s="3">
        <v>45464</v>
      </c>
      <c r="B568" s="3" t="str">
        <v>N:New Quotation</v>
      </c>
      <c r="C568" s="3" t="str">
        <v>H:Hull</v>
      </c>
      <c r="D568" s="3">
        <f>D567+1</f>
        <v>741</v>
      </c>
      <c r="E568" s="3" t="str">
        <f>CONCAT("Q","/",LEFT(Table2[[#This Row],[Quotation Type]],1),"/", LEFT(Table2[[#This Row],[Branch]],1),"/", RIGHT(YEAR(TODAY()),2), "/",Table2[[#This Row],[Seq. Number]])</f>
        <v>Q/N/H/26/741</v>
      </c>
      <c r="G568" s="3" t="str">
        <v>MMS 250</v>
      </c>
      <c r="I568" s="3" t="str">
        <v>Barge</v>
      </c>
      <c r="J568" s="3" t="str">
        <v>City</v>
      </c>
    </row>
    <row r="569">
      <c r="A569" s="3">
        <v>45464</v>
      </c>
      <c r="B569" s="3" t="str">
        <v>N:New Quotation</v>
      </c>
      <c r="C569" s="3" t="str">
        <v>P:P&amp;I</v>
      </c>
      <c r="D569" s="3">
        <f>D568+1</f>
        <v>742</v>
      </c>
      <c r="E569" s="3" t="str">
        <f>CONCAT("Q","/",LEFT(Table2[[#This Row],[Quotation Type]],1),"/", LEFT(Table2[[#This Row],[Branch]],1),"/", RIGHT(YEAR(TODAY()),2), "/",Table2[[#This Row],[Seq. Number]])</f>
        <v>Q/N/P/26/742</v>
      </c>
      <c r="F569" s="3" t="str">
        <v>Elreedy Shipping</v>
      </c>
      <c r="G569" s="3" t="str">
        <v>Mar Bianco</v>
      </c>
      <c r="I569" s="3" t="str">
        <v>GC</v>
      </c>
      <c r="J569" s="3" t="str">
        <v>Ferrari</v>
      </c>
    </row>
    <row r="570">
      <c r="A570" s="3">
        <v>45464</v>
      </c>
      <c r="B570" s="3" t="str">
        <v>R:Renewal</v>
      </c>
      <c r="C570" s="3" t="str">
        <v>H:Hull</v>
      </c>
      <c r="D570" s="3">
        <f>D569+1</f>
        <v>743</v>
      </c>
      <c r="E570" s="3" t="str">
        <f>CONCAT("Q","/",LEFT(Table2[[#This Row],[Quotation Type]],1),"/", LEFT(Table2[[#This Row],[Branch]],1),"/", RIGHT(YEAR(TODAY()),2), "/",Table2[[#This Row],[Seq. Number]])</f>
        <v>Q/R/H/26/743</v>
      </c>
      <c r="G570" s="3" t="str">
        <v>Lea I</v>
      </c>
      <c r="I570" s="3" t="str">
        <v>O/T</v>
      </c>
      <c r="J570" s="3" t="str">
        <v>Kominsur</v>
      </c>
    </row>
    <row r="571">
      <c r="A571" s="3">
        <v>45464</v>
      </c>
      <c r="B571" s="3" t="str">
        <v>N:New Quotation</v>
      </c>
      <c r="C571" s="3" t="str">
        <v>P:P&amp;I</v>
      </c>
      <c r="D571" s="3">
        <f>D570+1</f>
        <v>744</v>
      </c>
      <c r="E571" s="3" t="str">
        <f>CONCAT("Q","/",LEFT(Table2[[#This Row],[Quotation Type]],1),"/", LEFT(Table2[[#This Row],[Branch]],1),"/", RIGHT(YEAR(TODAY()),2), "/",Table2[[#This Row],[Seq. Number]])</f>
        <v>Q/N/P/26/744</v>
      </c>
      <c r="G571" s="3" t="str">
        <v>Abdullah F</v>
      </c>
      <c r="I571" s="3" t="str">
        <v>GC</v>
      </c>
      <c r="J571" s="3" t="str">
        <v>Direct</v>
      </c>
    </row>
    <row r="572">
      <c r="A572" s="3">
        <v>45467</v>
      </c>
      <c r="B572" s="3" t="str">
        <v>N:New Quotation</v>
      </c>
      <c r="C572" s="3" t="str">
        <v>H:Hull</v>
      </c>
      <c r="D572" s="3">
        <f>D571+1</f>
        <v>745</v>
      </c>
      <c r="E572" s="3" t="str">
        <f>CONCAT("Q","/",LEFT(Table2[[#This Row],[Quotation Type]],1),"/", LEFT(Table2[[#This Row],[Branch]],1),"/", RIGHT(YEAR(TODAY()),2), "/",Table2[[#This Row],[Seq. Number]])</f>
        <v>Q/N/H/26/745</v>
      </c>
      <c r="F572" s="3" t="str">
        <v>Sea Rocks Shipping</v>
      </c>
      <c r="I572" s="3" t="str">
        <v>Tug</v>
      </c>
      <c r="J572" s="3" t="str">
        <v>IPIC</v>
      </c>
    </row>
    <row r="573">
      <c r="A573" s="3">
        <v>45468</v>
      </c>
      <c r="B573" s="3" t="str">
        <v>R:Renewal</v>
      </c>
      <c r="C573" s="3" t="str">
        <v>H:Hull</v>
      </c>
      <c r="D573" s="3">
        <f>D572+1</f>
        <v>746</v>
      </c>
      <c r="E573" s="3" t="str">
        <f>CONCAT("Q","/",LEFT(Table2[[#This Row],[Quotation Type]],1),"/", LEFT(Table2[[#This Row],[Branch]],1),"/", RIGHT(YEAR(TODAY()),2), "/",Table2[[#This Row],[Seq. Number]])</f>
        <v>Q/R/H/26/746</v>
      </c>
      <c r="F573" s="3" t="str">
        <v>Elreedy Shipping</v>
      </c>
      <c r="J573" s="3" t="str">
        <v>Mesco</v>
      </c>
    </row>
    <row r="574">
      <c r="A574" s="3">
        <v>45468</v>
      </c>
      <c r="B574" s="3" t="str">
        <v>R:Renewal</v>
      </c>
      <c r="C574" s="3" t="str">
        <v>W:War</v>
      </c>
      <c r="D574" s="3">
        <f>D573+1</f>
        <v>747</v>
      </c>
      <c r="E574" s="3" t="str">
        <f>CONCAT("Q","/",LEFT(Table2[[#This Row],[Quotation Type]],1),"/", LEFT(Table2[[#This Row],[Branch]],1),"/", RIGHT(YEAR(TODAY()),2), "/",Table2[[#This Row],[Seq. Number]])</f>
        <v>Q/R/W/26/747</v>
      </c>
      <c r="F574" s="3" t="str">
        <v>Elreedy Shipping</v>
      </c>
      <c r="J574" s="3" t="str">
        <v>Mesco</v>
      </c>
    </row>
    <row r="575">
      <c r="A575" s="3">
        <v>45468</v>
      </c>
      <c r="B575" s="3" t="str">
        <v>R:Renewal</v>
      </c>
      <c r="C575" s="3" t="str">
        <v>H:Hull</v>
      </c>
      <c r="D575" s="3">
        <f>D574+1</f>
        <v>748</v>
      </c>
      <c r="E575" s="3" t="str">
        <f>CONCAT("Q","/",LEFT(Table2[[#This Row],[Quotation Type]],1),"/", LEFT(Table2[[#This Row],[Branch]],1),"/", RIGHT(YEAR(TODAY()),2), "/",Table2[[#This Row],[Seq. Number]])</f>
        <v>Q/R/H/26/748</v>
      </c>
      <c r="F575" s="3" t="str">
        <v>RTSS</v>
      </c>
      <c r="G575" s="3" t="str">
        <v>LSS Success</v>
      </c>
      <c r="I575" s="3" t="str">
        <v>MLV</v>
      </c>
      <c r="J575" s="3" t="str">
        <v>City</v>
      </c>
    </row>
    <row r="576">
      <c r="A576" s="3">
        <v>45468</v>
      </c>
      <c r="B576" s="3" t="str">
        <v>R:Renewal</v>
      </c>
      <c r="C576" s="3" t="str">
        <v>W:War</v>
      </c>
      <c r="D576" s="3">
        <f>D575+1</f>
        <v>749</v>
      </c>
      <c r="E576" s="3" t="str">
        <f>CONCAT("Q","/",LEFT(Table2[[#This Row],[Quotation Type]],1),"/", LEFT(Table2[[#This Row],[Branch]],1),"/", RIGHT(YEAR(TODAY()),2), "/",Table2[[#This Row],[Seq. Number]])</f>
        <v>Q/R/W/26/749</v>
      </c>
      <c r="F576" s="3" t="str">
        <v>RTSS</v>
      </c>
      <c r="G576" s="3" t="str">
        <v>LSS Success</v>
      </c>
      <c r="I576" s="3" t="str">
        <v>MLV</v>
      </c>
      <c r="J576" s="3" t="str">
        <v>City</v>
      </c>
    </row>
    <row r="577">
      <c r="A577" s="3">
        <v>45470</v>
      </c>
      <c r="B577" s="3" t="str">
        <v>N:New Quotation</v>
      </c>
      <c r="C577" s="3" t="str">
        <v>P:P&amp;I</v>
      </c>
      <c r="D577" s="3">
        <f>D576+1</f>
        <v>750</v>
      </c>
      <c r="E577" s="3" t="str">
        <f>CONCAT("Q","/",LEFT(Table2[[#This Row],[Quotation Type]],1),"/", LEFT(Table2[[#This Row],[Branch]],1),"/", RIGHT(YEAR(TODAY()),2), "/",Table2[[#This Row],[Seq. Number]])</f>
        <v>Q/N/P/26/750</v>
      </c>
      <c r="G577" s="3" t="str">
        <v>Volgo-Balt 236</v>
      </c>
      <c r="I577" s="3" t="str">
        <v>GC</v>
      </c>
      <c r="J577" s="3" t="str">
        <v>Ferrari</v>
      </c>
    </row>
    <row r="578">
      <c r="A578" s="3">
        <v>45470</v>
      </c>
      <c r="B578" s="3" t="str">
        <v>N:New Quotation</v>
      </c>
      <c r="C578" s="3" t="str">
        <v>P:P&amp;I</v>
      </c>
      <c r="D578" s="3">
        <f>D577+1</f>
        <v>751</v>
      </c>
      <c r="E578" s="3" t="str">
        <f>CONCAT("Q","/",LEFT(Table2[[#This Row],[Quotation Type]],1),"/", LEFT(Table2[[#This Row],[Branch]],1),"/", RIGHT(YEAR(TODAY()),2), "/",Table2[[#This Row],[Seq. Number]])</f>
        <v>Q/N/P/26/751</v>
      </c>
      <c r="G578" s="3" t="str">
        <v>Sea Music</v>
      </c>
      <c r="I578" s="3" t="str">
        <v>GC</v>
      </c>
      <c r="J578" s="3" t="str">
        <v>Direct</v>
      </c>
    </row>
    <row r="579">
      <c r="A579" s="3">
        <v>45470</v>
      </c>
      <c r="B579" s="3" t="str">
        <v>N:New Quotation</v>
      </c>
      <c r="C579" s="3" t="str">
        <v>H:Hull</v>
      </c>
      <c r="D579" s="3">
        <f>D578+1</f>
        <v>752</v>
      </c>
      <c r="E579" s="3" t="str">
        <f>CONCAT("Q","/",LEFT(Table2[[#This Row],[Quotation Type]],1),"/", LEFT(Table2[[#This Row],[Branch]],1),"/", RIGHT(YEAR(TODAY()),2), "/",Table2[[#This Row],[Seq. Number]])</f>
        <v>Q/N/H/26/752</v>
      </c>
      <c r="G579" s="3" t="str">
        <v>Magnum Force</v>
      </c>
      <c r="I579" s="3" t="str">
        <v>BC</v>
      </c>
      <c r="J579" s="3" t="str">
        <v>SSS</v>
      </c>
    </row>
    <row r="580">
      <c r="A580" s="3">
        <v>45475</v>
      </c>
      <c r="B580" s="3" t="str">
        <v>R:Renewal</v>
      </c>
      <c r="C580" s="3" t="str">
        <v>H:Hull</v>
      </c>
      <c r="D580" s="3">
        <f>D579+1</f>
        <v>753</v>
      </c>
      <c r="E580" s="3" t="str">
        <f>CONCAT("Q","/",LEFT(Table2[[#This Row],[Quotation Type]],1),"/", LEFT(Table2[[#This Row],[Branch]],1),"/", RIGHT(YEAR(TODAY()),2), "/",Table2[[#This Row],[Seq. Number]])</f>
        <v>Q/R/H/26/753</v>
      </c>
      <c r="G580" s="3" t="str">
        <v>Princess Noria</v>
      </c>
      <c r="J580" s="3" t="str">
        <v>SSS</v>
      </c>
    </row>
    <row r="581">
      <c r="A581" s="3">
        <v>45475</v>
      </c>
      <c r="B581" s="3" t="str">
        <v>R:Renewal</v>
      </c>
      <c r="C581" s="3" t="str">
        <v>W:War</v>
      </c>
      <c r="D581" s="3">
        <f>D580+1</f>
        <v>754</v>
      </c>
      <c r="E581" s="3" t="str">
        <f>CONCAT("Q","/",LEFT(Table2[[#This Row],[Quotation Type]],1),"/", LEFT(Table2[[#This Row],[Branch]],1),"/", RIGHT(YEAR(TODAY()),2), "/",Table2[[#This Row],[Seq. Number]])</f>
        <v>Q/R/W/26/754</v>
      </c>
      <c r="G581" s="3" t="str">
        <v>Princess Noria</v>
      </c>
      <c r="J581" s="3" t="str">
        <v>SSS</v>
      </c>
    </row>
    <row r="582">
      <c r="A582" s="3">
        <v>45475</v>
      </c>
      <c r="B582" s="3" t="str">
        <v>R:Renewal</v>
      </c>
      <c r="C582" s="3" t="str">
        <v>H:Hull</v>
      </c>
      <c r="D582" s="3">
        <f>D581+1</f>
        <v>755</v>
      </c>
      <c r="E582" s="3" t="str">
        <f>CONCAT("Q","/",LEFT(Table2[[#This Row],[Quotation Type]],1),"/", LEFT(Table2[[#This Row],[Branch]],1),"/", RIGHT(YEAR(TODAY()),2), "/",Table2[[#This Row],[Seq. Number]])</f>
        <v>Q/R/H/26/755</v>
      </c>
      <c r="F582" s="3" t="str">
        <v>North &amp; South</v>
      </c>
    </row>
    <row r="583">
      <c r="A583" s="3">
        <v>45476</v>
      </c>
      <c r="B583" s="3" t="str">
        <v>R:Renewal</v>
      </c>
      <c r="C583" s="3" t="str">
        <v>H:Hull</v>
      </c>
      <c r="D583" s="3">
        <f>D582+1</f>
        <v>756</v>
      </c>
      <c r="E583" s="3" t="str">
        <f>CONCAT("Q","/",LEFT(Table2[[#This Row],[Quotation Type]],1),"/", LEFT(Table2[[#This Row],[Branch]],1),"/", RIGHT(YEAR(TODAY()),2), "/",Table2[[#This Row],[Seq. Number]])</f>
        <v>Q/R/H/26/756</v>
      </c>
      <c r="F583" s="3" t="str">
        <v>Alfamarine</v>
      </c>
      <c r="G583" s="3" t="str">
        <v>Lily J - Hajh Ghsn J</v>
      </c>
      <c r="I583" s="3" t="str">
        <v>MLV</v>
      </c>
      <c r="J583" s="3" t="str">
        <v>Direct</v>
      </c>
    </row>
    <row r="584">
      <c r="A584" s="3">
        <v>45476</v>
      </c>
      <c r="B584" s="3" t="str">
        <v>R:Renewal</v>
      </c>
      <c r="C584" s="3" t="str">
        <v>P:P&amp;I</v>
      </c>
      <c r="D584" s="3">
        <f>D583+1</f>
        <v>757</v>
      </c>
      <c r="E584" s="3" t="str">
        <f>CONCAT("Q","/",LEFT(Table2[[#This Row],[Quotation Type]],1),"/", LEFT(Table2[[#This Row],[Branch]],1),"/", RIGHT(YEAR(TODAY()),2), "/",Table2[[#This Row],[Seq. Number]])</f>
        <v>Q/R/P/26/757</v>
      </c>
      <c r="F584" s="3" t="str">
        <v>Alfamarine</v>
      </c>
      <c r="G584" s="3" t="str">
        <v>Lily J - Hajh Ghsn J</v>
      </c>
      <c r="I584" s="3" t="str">
        <v>MLV</v>
      </c>
      <c r="J584" s="3" t="str">
        <v>Direct</v>
      </c>
    </row>
    <row r="585">
      <c r="A585" s="3">
        <v>45476</v>
      </c>
      <c r="B585" s="3" t="str">
        <v>R:Renewal</v>
      </c>
      <c r="C585" s="3" t="str">
        <v>W:War</v>
      </c>
      <c r="D585" s="3">
        <f>D584+1</f>
        <v>758</v>
      </c>
      <c r="E585" s="3" t="str">
        <f>CONCAT("Q","/",LEFT(Table2[[#This Row],[Quotation Type]],1),"/", LEFT(Table2[[#This Row],[Branch]],1),"/", RIGHT(YEAR(TODAY()),2), "/",Table2[[#This Row],[Seq. Number]])</f>
        <v>Q/R/W/26/758</v>
      </c>
      <c r="F585" s="3" t="str">
        <v>Alfamarine</v>
      </c>
      <c r="G585" s="3" t="str">
        <v>Lily J - Hajh Ghsn J</v>
      </c>
      <c r="I585" s="3" t="str">
        <v>MLV</v>
      </c>
      <c r="J585" s="3" t="str">
        <v>Direct</v>
      </c>
    </row>
    <row r="586">
      <c r="A586" s="3">
        <v>45476</v>
      </c>
      <c r="B586" s="3" t="str">
        <v>R:Renewal</v>
      </c>
      <c r="C586" s="3" t="str">
        <v>P:P&amp;I</v>
      </c>
      <c r="D586" s="3">
        <f>D585+1</f>
        <v>759</v>
      </c>
      <c r="E586" s="3" t="str">
        <f>CONCAT("Q","/",LEFT(Table2[[#This Row],[Quotation Type]],1),"/", LEFT(Table2[[#This Row],[Branch]],1),"/", RIGHT(YEAR(TODAY()),2), "/",Table2[[#This Row],[Seq. Number]])</f>
        <v>Q/R/P/26/759</v>
      </c>
      <c r="G586" s="3" t="str">
        <v>Nader A</v>
      </c>
      <c r="I586" s="3" t="str">
        <v>MLV</v>
      </c>
      <c r="J586" s="3" t="str">
        <v>Direct</v>
      </c>
    </row>
    <row r="587">
      <c r="A587" s="3">
        <v>45476</v>
      </c>
      <c r="B587" s="3" t="str">
        <v>R:Renewal</v>
      </c>
      <c r="C587" s="3" t="str">
        <v>P:P&amp;I</v>
      </c>
      <c r="D587" s="3">
        <f>D586+1</f>
        <v>760</v>
      </c>
      <c r="E587" s="3" t="str">
        <f>CONCAT("Q","/",LEFT(Table2[[#This Row],[Quotation Type]],1),"/", LEFT(Table2[[#This Row],[Branch]],1),"/", RIGHT(YEAR(TODAY()),2), "/",Table2[[#This Row],[Seq. Number]])</f>
        <v>Q/R/P/26/760</v>
      </c>
      <c r="F587" s="3" t="str">
        <v>Mina Group</v>
      </c>
      <c r="G587" s="3" t="str">
        <v>Dalal F</v>
      </c>
      <c r="I587" s="3" t="str">
        <v>MLV</v>
      </c>
      <c r="J587" s="3" t="str">
        <v>Direct</v>
      </c>
    </row>
    <row r="588">
      <c r="A588" s="3">
        <v>45476</v>
      </c>
      <c r="B588" s="3" t="str">
        <v>R:Renewal</v>
      </c>
      <c r="C588" s="3" t="str">
        <v>H:Hull</v>
      </c>
      <c r="D588" s="3">
        <f>D587+1</f>
        <v>761</v>
      </c>
      <c r="E588" s="3" t="str">
        <f>CONCAT("Q","/",LEFT(Table2[[#This Row],[Quotation Type]],1),"/", LEFT(Table2[[#This Row],[Branch]],1),"/", RIGHT(YEAR(TODAY()),2), "/",Table2[[#This Row],[Seq. Number]])</f>
        <v>Q/R/H/26/761</v>
      </c>
      <c r="F588" s="3" t="str">
        <v>Mina Group</v>
      </c>
      <c r="G588" s="3" t="str">
        <v>Dalal F</v>
      </c>
      <c r="I588" s="3" t="str">
        <v>MLV</v>
      </c>
      <c r="J588" s="3" t="str">
        <v>Direct</v>
      </c>
    </row>
    <row r="589">
      <c r="A589" s="3">
        <v>45478</v>
      </c>
      <c r="B589" s="3" t="str">
        <v>R:Renewal</v>
      </c>
      <c r="C589" s="3" t="str">
        <v>H:Hull</v>
      </c>
      <c r="D589" s="3">
        <f>D588+1</f>
        <v>762</v>
      </c>
      <c r="E589" s="3" t="str">
        <f>CONCAT("Q","/",LEFT(Table2[[#This Row],[Quotation Type]],1),"/", LEFT(Table2[[#This Row],[Branch]],1),"/", RIGHT(YEAR(TODAY()),2), "/",Table2[[#This Row],[Seq. Number]])</f>
        <v>Q/R/H/26/762</v>
      </c>
      <c r="G589" s="3" t="str">
        <v>Margaux</v>
      </c>
      <c r="I589" s="3" t="str">
        <v>BC</v>
      </c>
      <c r="J589" s="3" t="str">
        <v>Direct</v>
      </c>
    </row>
    <row r="590">
      <c r="A590" s="3">
        <v>45478</v>
      </c>
      <c r="B590" s="3" t="str">
        <v>R:Renewal</v>
      </c>
      <c r="C590" s="3" t="str">
        <v>W:War</v>
      </c>
      <c r="D590" s="3">
        <f>D589+1</f>
        <v>763</v>
      </c>
      <c r="E590" s="3" t="str">
        <f>CONCAT("Q","/",LEFT(Table2[[#This Row],[Quotation Type]],1),"/", LEFT(Table2[[#This Row],[Branch]],1),"/", RIGHT(YEAR(TODAY()),2), "/",Table2[[#This Row],[Seq. Number]])</f>
        <v>Q/R/W/26/763</v>
      </c>
      <c r="G590" s="3" t="str">
        <v>Margaux</v>
      </c>
      <c r="I590" s="3" t="str">
        <v>BC</v>
      </c>
      <c r="J590" s="3" t="str">
        <v>Direct</v>
      </c>
    </row>
    <row r="591">
      <c r="A591" s="3">
        <v>45482</v>
      </c>
      <c r="B591" s="3" t="str">
        <v>N:New Quotation</v>
      </c>
      <c r="C591" s="3" t="str">
        <v>H:Hull</v>
      </c>
      <c r="D591" s="3">
        <f>D590+1</f>
        <v>764</v>
      </c>
      <c r="E591" s="3" t="str">
        <f>CONCAT("Q","/",LEFT(Table2[[#This Row],[Quotation Type]],1),"/", LEFT(Table2[[#This Row],[Branch]],1),"/", RIGHT(YEAR(TODAY()),2), "/",Table2[[#This Row],[Seq. Number]])</f>
        <v>Q/N/H/26/764</v>
      </c>
      <c r="G591" s="3" t="str">
        <v>Al Nasr</v>
      </c>
      <c r="I591" s="3" t="str">
        <v>Fishing Vessel</v>
      </c>
      <c r="J591" s="3" t="str">
        <v>IPIC</v>
      </c>
    </row>
    <row r="592">
      <c r="A592" s="3">
        <v>45482</v>
      </c>
      <c r="B592" s="3" t="str">
        <v>A:Addition</v>
      </c>
      <c r="C592" s="3" t="str">
        <v>H:Hull</v>
      </c>
      <c r="D592" s="3">
        <f>D591+1</f>
        <v>765</v>
      </c>
      <c r="E592" s="3" t="str">
        <f>CONCAT("Q","/",LEFT(Table2[[#This Row],[Quotation Type]],1),"/", LEFT(Table2[[#This Row],[Branch]],1),"/", RIGHT(YEAR(TODAY()),2), "/",Table2[[#This Row],[Seq. Number]])</f>
        <v>Q/A/H/26/765</v>
      </c>
      <c r="G592" s="3" t="str">
        <v>GMA Sultan/GMA Nadia</v>
      </c>
      <c r="I592" s="3" t="str">
        <v>GC</v>
      </c>
      <c r="J592" s="3" t="str">
        <v>Direct</v>
      </c>
    </row>
    <row r="593">
      <c r="A593" s="3">
        <v>45483</v>
      </c>
      <c r="B593" s="3" t="str">
        <v>N:New Quotation</v>
      </c>
      <c r="C593" s="3" t="str">
        <v>P:P&amp;I</v>
      </c>
      <c r="D593" s="3">
        <f>D592+1</f>
        <v>766</v>
      </c>
      <c r="E593" s="3" t="str">
        <f>CONCAT("Q","/",LEFT(Table2[[#This Row],[Quotation Type]],1),"/", LEFT(Table2[[#This Row],[Branch]],1),"/", RIGHT(YEAR(TODAY()),2), "/",Table2[[#This Row],[Seq. Number]])</f>
        <v>Q/N/P/26/766</v>
      </c>
      <c r="F593" s="3" t="str">
        <v>Tristar</v>
      </c>
      <c r="I593" s="3" t="str">
        <v>GC</v>
      </c>
      <c r="J593" s="3" t="str">
        <v>Brandenburg</v>
      </c>
    </row>
    <row r="594">
      <c r="A594" s="3">
        <v>45483</v>
      </c>
      <c r="B594" s="3" t="str">
        <v>N:New Quotation</v>
      </c>
      <c r="C594" s="3" t="str">
        <v>P:P&amp;I</v>
      </c>
      <c r="D594" s="3">
        <f>D593+1</f>
        <v>767</v>
      </c>
      <c r="E594" s="3" t="str">
        <f>CONCAT("Q","/",LEFT(Table2[[#This Row],[Quotation Type]],1),"/", LEFT(Table2[[#This Row],[Branch]],1),"/", RIGHT(YEAR(TODAY()),2), "/",Table2[[#This Row],[Seq. Number]])</f>
        <v>Q/N/P/26/767</v>
      </c>
      <c r="G594" s="3" t="str">
        <v>SVR Mercury</v>
      </c>
      <c r="I594" s="3" t="str">
        <v>GC</v>
      </c>
      <c r="J594" s="3" t="str">
        <v>Kuzey</v>
      </c>
    </row>
    <row r="595">
      <c r="A595" s="3">
        <v>45484</v>
      </c>
      <c r="B595" s="3" t="str">
        <v>R:Renewal</v>
      </c>
      <c r="C595" s="3" t="str">
        <v>H:Hull</v>
      </c>
      <c r="D595" s="3">
        <f>D594+1</f>
        <v>768</v>
      </c>
      <c r="E595" s="3" t="str">
        <f>CONCAT("Q","/",LEFT(Table2[[#This Row],[Quotation Type]],1),"/", LEFT(Table2[[#This Row],[Branch]],1),"/", RIGHT(YEAR(TODAY()),2), "/",Table2[[#This Row],[Seq. Number]])</f>
        <v>Q/R/H/26/768</v>
      </c>
      <c r="G595" s="3" t="str">
        <v>Brave Knight</v>
      </c>
      <c r="I595" s="3" t="str">
        <v>GC</v>
      </c>
      <c r="J595" s="3" t="str">
        <v>Brandenburg</v>
      </c>
    </row>
    <row r="596">
      <c r="A596" s="3">
        <v>45484</v>
      </c>
      <c r="B596" s="3" t="str">
        <v>R:Renewal</v>
      </c>
      <c r="C596" s="3" t="str">
        <v>W:War</v>
      </c>
      <c r="D596" s="3">
        <f>D595+1</f>
        <v>769</v>
      </c>
      <c r="E596" s="3" t="str">
        <f>CONCAT("Q","/",LEFT(Table2[[#This Row],[Quotation Type]],1),"/", LEFT(Table2[[#This Row],[Branch]],1),"/", RIGHT(YEAR(TODAY()),2), "/",Table2[[#This Row],[Seq. Number]])</f>
        <v>Q/R/W/26/769</v>
      </c>
      <c r="G596" s="3" t="str">
        <v>Brave Knight</v>
      </c>
      <c r="I596" s="3" t="str">
        <v>GC</v>
      </c>
      <c r="J596" s="3" t="str">
        <v>Brandenburg</v>
      </c>
    </row>
    <row r="597">
      <c r="A597" s="3">
        <v>45484</v>
      </c>
      <c r="B597" s="3" t="str">
        <v>R:Renewal</v>
      </c>
      <c r="C597" s="3" t="str">
        <v>H:Hull</v>
      </c>
      <c r="D597" s="3">
        <f>D596+1</f>
        <v>770</v>
      </c>
      <c r="E597" s="3" t="str">
        <f>CONCAT("Q","/",LEFT(Table2[[#This Row],[Quotation Type]],1),"/", LEFT(Table2[[#This Row],[Branch]],1),"/", RIGHT(YEAR(TODAY()),2), "/",Table2[[#This Row],[Seq. Number]])</f>
        <v>Q/R/H/26/770</v>
      </c>
      <c r="F597" s="3" t="str">
        <v>Mody Shipping</v>
      </c>
      <c r="G597" s="3" t="str">
        <v>Brave Heart</v>
      </c>
      <c r="J597" s="3" t="str">
        <v>Brandenburg</v>
      </c>
    </row>
    <row r="598">
      <c r="A598" s="3">
        <v>45484</v>
      </c>
      <c r="B598" s="3" t="str">
        <v>R:Renewal</v>
      </c>
      <c r="C598" s="3" t="str">
        <v>W:War</v>
      </c>
      <c r="D598" s="3">
        <f>D597+1</f>
        <v>771</v>
      </c>
      <c r="E598" s="3" t="str">
        <f>CONCAT("Q","/",LEFT(Table2[[#This Row],[Quotation Type]],1),"/", LEFT(Table2[[#This Row],[Branch]],1),"/", RIGHT(YEAR(TODAY()),2), "/",Table2[[#This Row],[Seq. Number]])</f>
        <v>Q/R/W/26/771</v>
      </c>
      <c r="F598" s="3" t="str">
        <v>Mody Shipping</v>
      </c>
      <c r="G598" s="3" t="str">
        <v>Brave Heart</v>
      </c>
      <c r="J598" s="3" t="str">
        <v>Brandenburg</v>
      </c>
    </row>
    <row r="599">
      <c r="A599" s="3">
        <v>45485</v>
      </c>
      <c r="B599" s="3" t="str">
        <v>R:Renewal</v>
      </c>
      <c r="C599" s="3" t="str">
        <v>P:P&amp;I</v>
      </c>
      <c r="D599" s="3">
        <f>D598+1</f>
        <v>772</v>
      </c>
      <c r="E599" s="3" t="str">
        <f>CONCAT("Q","/",LEFT(Table2[[#This Row],[Quotation Type]],1),"/", LEFT(Table2[[#This Row],[Branch]],1),"/", RIGHT(YEAR(TODAY()),2), "/",Table2[[#This Row],[Seq. Number]])</f>
        <v>Q/R/P/26/772</v>
      </c>
      <c r="F599" s="3" t="str">
        <v>SNG Shipping Company</v>
      </c>
      <c r="G599" s="3" t="str">
        <v>SNG Emira</v>
      </c>
      <c r="I599" s="3" t="str">
        <v>GC</v>
      </c>
      <c r="J599" s="3" t="str">
        <v>Kuzey</v>
      </c>
    </row>
    <row r="600">
      <c r="A600" s="3">
        <v>45488</v>
      </c>
      <c r="B600" s="3" t="str">
        <v>N:New Quotation</v>
      </c>
      <c r="C600" s="3" t="str">
        <v>P:P&amp;I</v>
      </c>
      <c r="D600" s="3">
        <f>D599+1</f>
        <v>773</v>
      </c>
      <c r="E600" s="3" t="str">
        <f>CONCAT("Q","/",LEFT(Table2[[#This Row],[Quotation Type]],1),"/", LEFT(Table2[[#This Row],[Branch]],1),"/", RIGHT(YEAR(TODAY()),2), "/",Table2[[#This Row],[Seq. Number]])</f>
        <v>Q/N/P/26/773</v>
      </c>
      <c r="F600" s="3" t="str">
        <v>Star Ship Management</v>
      </c>
      <c r="I600" s="3" t="str">
        <v>GC</v>
      </c>
      <c r="J600" s="3" t="str">
        <v>Brandenburg</v>
      </c>
    </row>
    <row r="601">
      <c r="A601" s="3">
        <v>45489</v>
      </c>
      <c r="B601" s="3" t="str">
        <v>A:Addition</v>
      </c>
      <c r="C601" s="3" t="str">
        <v>H:Hull</v>
      </c>
      <c r="D601" s="3">
        <f>D600+1</f>
        <v>774</v>
      </c>
      <c r="E601" s="3" t="str">
        <f>CONCAT("Q","/",LEFT(Table2[[#This Row],[Quotation Type]],1),"/", LEFT(Table2[[#This Row],[Branch]],1),"/", RIGHT(YEAR(TODAY()),2), "/",Table2[[#This Row],[Seq. Number]])</f>
        <v>Q/A/H/26/774</v>
      </c>
      <c r="G601" s="3" t="str">
        <v>Roya</v>
      </c>
      <c r="I601" s="3" t="str">
        <v>BC</v>
      </c>
      <c r="J601" s="3" t="str">
        <v>Direct</v>
      </c>
    </row>
    <row r="602">
      <c r="A602" s="3">
        <v>45491</v>
      </c>
      <c r="B602" s="3" t="str">
        <v>A:Addition</v>
      </c>
      <c r="C602" s="3" t="str">
        <v>H:Hull</v>
      </c>
      <c r="D602" s="3">
        <f>D601+1</f>
        <v>775</v>
      </c>
      <c r="E602" s="3" t="str">
        <f>CONCAT("Q","/",LEFT(Table2[[#This Row],[Quotation Type]],1),"/", LEFT(Table2[[#This Row],[Branch]],1),"/", RIGHT(YEAR(TODAY()),2), "/",Table2[[#This Row],[Seq. Number]])</f>
        <v>Q/A/H/26/775</v>
      </c>
      <c r="G602" s="3" t="str">
        <v>Blaky</v>
      </c>
      <c r="I602" s="3" t="str">
        <v>O/T</v>
      </c>
      <c r="J602" s="3" t="str">
        <v>Shady Saab</v>
      </c>
    </row>
    <row r="603">
      <c r="A603" s="3">
        <v>45491</v>
      </c>
      <c r="B603" s="3" t="str">
        <v>A:Addition</v>
      </c>
      <c r="C603" s="3" t="str">
        <v>H:Hull</v>
      </c>
      <c r="D603" s="3">
        <f>D602+1</f>
        <v>776</v>
      </c>
      <c r="E603" s="3" t="str">
        <f>CONCAT("Q","/",LEFT(Table2[[#This Row],[Quotation Type]],1),"/", LEFT(Table2[[#This Row],[Branch]],1),"/", RIGHT(YEAR(TODAY()),2), "/",Table2[[#This Row],[Seq. Number]])</f>
        <v>Q/A/H/26/776</v>
      </c>
      <c r="G603" s="3" t="str">
        <v>Crazy</v>
      </c>
      <c r="I603" s="3" t="str">
        <v>O/T</v>
      </c>
      <c r="J603" s="3" t="str">
        <v>Shady Saab</v>
      </c>
    </row>
    <row r="604">
      <c r="A604" s="3">
        <v>45491</v>
      </c>
      <c r="B604" s="3" t="str">
        <v>N:New Quotation</v>
      </c>
      <c r="C604" s="3" t="str">
        <v>H:Hull</v>
      </c>
      <c r="D604" s="3">
        <f>D603+1</f>
        <v>777</v>
      </c>
      <c r="E604" s="3" t="str">
        <f>CONCAT("Q","/",LEFT(Table2[[#This Row],[Quotation Type]],1),"/", LEFT(Table2[[#This Row],[Branch]],1),"/", RIGHT(YEAR(TODAY()),2), "/",Table2[[#This Row],[Seq. Number]])</f>
        <v>Q/N/H/26/777</v>
      </c>
      <c r="G604" s="3" t="str">
        <v>Al Marfa 102</v>
      </c>
      <c r="J604" s="3" t="str">
        <v>Direct</v>
      </c>
    </row>
    <row r="605">
      <c r="A605" s="3">
        <v>45491</v>
      </c>
      <c r="B605" s="3" t="str">
        <v>N:New Quotation</v>
      </c>
      <c r="C605" s="3" t="str">
        <v>P:P&amp;I</v>
      </c>
      <c r="D605" s="3">
        <f>D604+1</f>
        <v>778</v>
      </c>
      <c r="E605" s="3" t="str">
        <f>CONCAT("Q","/",LEFT(Table2[[#This Row],[Quotation Type]],1),"/", LEFT(Table2[[#This Row],[Branch]],1),"/", RIGHT(YEAR(TODAY()),2), "/",Table2[[#This Row],[Seq. Number]])</f>
        <v>Q/N/P/26/778</v>
      </c>
      <c r="G605" s="3" t="str">
        <v>Al Marfa 102</v>
      </c>
      <c r="J605" s="3" t="str">
        <v>Direct</v>
      </c>
    </row>
    <row r="606">
      <c r="A606" s="3">
        <v>45492</v>
      </c>
      <c r="B606" s="3" t="str">
        <v>N:New Quotation</v>
      </c>
      <c r="C606" s="3" t="str">
        <v>H:Hull</v>
      </c>
      <c r="D606" s="3">
        <f>D605+1</f>
        <v>779</v>
      </c>
      <c r="E606" s="3" t="str">
        <f>CONCAT("Q","/",LEFT(Table2[[#This Row],[Quotation Type]],1),"/", LEFT(Table2[[#This Row],[Branch]],1),"/", RIGHT(YEAR(TODAY()),2), "/",Table2[[#This Row],[Seq. Number]])</f>
        <v>Q/N/H/26/779</v>
      </c>
      <c r="G606" s="3" t="str">
        <v>Nathan</v>
      </c>
      <c r="J606" s="3" t="str">
        <v>City</v>
      </c>
    </row>
    <row r="607">
      <c r="A607" s="3">
        <v>45492</v>
      </c>
      <c r="B607" s="3" t="str">
        <v>N:New Quotation</v>
      </c>
      <c r="C607" s="3" t="str">
        <v>W:War</v>
      </c>
      <c r="D607" s="3">
        <f>D606+1</f>
        <v>780</v>
      </c>
      <c r="E607" s="3" t="str">
        <f>CONCAT("Q","/",LEFT(Table2[[#This Row],[Quotation Type]],1),"/", LEFT(Table2[[#This Row],[Branch]],1),"/", RIGHT(YEAR(TODAY()),2), "/",Table2[[#This Row],[Seq. Number]])</f>
        <v>Q/N/W/26/780</v>
      </c>
      <c r="G607" s="3" t="str">
        <v>Nathan</v>
      </c>
      <c r="J607" s="3" t="str">
        <v>City</v>
      </c>
    </row>
    <row r="608">
      <c r="A608" s="3">
        <v>45495</v>
      </c>
      <c r="B608" s="3" t="str">
        <v>N:New Quotation</v>
      </c>
      <c r="C608" s="3" t="str">
        <v>H:Hull</v>
      </c>
      <c r="D608" s="3">
        <f>D607+1</f>
        <v>781</v>
      </c>
      <c r="E608" s="3" t="str">
        <f>CONCAT("Q","/",LEFT(Table2[[#This Row],[Quotation Type]],1),"/", LEFT(Table2[[#This Row],[Branch]],1),"/", RIGHT(YEAR(TODAY()),2), "/",Table2[[#This Row],[Seq. Number]])</f>
        <v>Q/N/H/26/781</v>
      </c>
      <c r="G608" s="3" t="str">
        <v>Goodness 1</v>
      </c>
      <c r="I608" s="3" t="str">
        <v>MLV</v>
      </c>
      <c r="J608" s="3" t="str">
        <v>Jamil Sayegh</v>
      </c>
    </row>
    <row r="609">
      <c r="A609" s="3">
        <v>45495</v>
      </c>
      <c r="B609" s="3" t="str">
        <v>N:New Quotation</v>
      </c>
      <c r="C609" s="3" t="str">
        <v>P:P&amp;I</v>
      </c>
      <c r="D609" s="3">
        <f>D608+1</f>
        <v>782</v>
      </c>
      <c r="E609" s="3" t="str">
        <f>CONCAT("Q","/",LEFT(Table2[[#This Row],[Quotation Type]],1),"/", LEFT(Table2[[#This Row],[Branch]],1),"/", RIGHT(YEAR(TODAY()),2), "/",Table2[[#This Row],[Seq. Number]])</f>
        <v>Q/N/P/26/782</v>
      </c>
      <c r="G609" s="3" t="str">
        <v>Goodness 1</v>
      </c>
      <c r="I609" s="3" t="str">
        <v>MLV</v>
      </c>
      <c r="J609" s="3" t="str">
        <v>Jamil Sayegh</v>
      </c>
    </row>
    <row r="610">
      <c r="A610" s="3">
        <v>45498</v>
      </c>
      <c r="B610" s="3" t="str">
        <v>R:Renewal</v>
      </c>
      <c r="C610" s="3" t="str">
        <v>H:Hull</v>
      </c>
      <c r="D610" s="3">
        <f>D609+1</f>
        <v>783</v>
      </c>
      <c r="E610" s="3" t="str">
        <f>CONCAT("Q","/",LEFT(Table2[[#This Row],[Quotation Type]],1),"/", LEFT(Table2[[#This Row],[Branch]],1),"/", RIGHT(YEAR(TODAY()),2), "/",Table2[[#This Row],[Seq. Number]])</f>
        <v>Q/R/H/26/783</v>
      </c>
      <c r="G610" s="3" t="str">
        <v>Moonraker</v>
      </c>
      <c r="I610" s="3" t="str">
        <v>Yacht</v>
      </c>
      <c r="J610" s="3" t="str">
        <v>Newberry</v>
      </c>
    </row>
    <row r="611">
      <c r="A611" s="3">
        <v>45499</v>
      </c>
      <c r="B611" s="3" t="str">
        <v>N:New Quotation</v>
      </c>
      <c r="C611" s="3" t="str">
        <v>P:P&amp;I</v>
      </c>
      <c r="D611" s="3">
        <f>D610+1</f>
        <v>784</v>
      </c>
      <c r="E611" s="3" t="str">
        <f>CONCAT("Q","/",LEFT(Table2[[#This Row],[Quotation Type]],1),"/", LEFT(Table2[[#This Row],[Branch]],1),"/", RIGHT(YEAR(TODAY()),2), "/",Table2[[#This Row],[Seq. Number]])</f>
        <v>Q/N/P/26/784</v>
      </c>
      <c r="G611" s="3" t="str">
        <v>Itidal</v>
      </c>
      <c r="I611" s="3" t="str">
        <v>GC</v>
      </c>
      <c r="J611" s="3" t="str">
        <v>Brandenburg</v>
      </c>
    </row>
    <row r="612">
      <c r="A612" s="3">
        <v>45499</v>
      </c>
      <c r="B612" s="3" t="str">
        <v>N:New Quotation</v>
      </c>
      <c r="C612" s="3" t="str">
        <v>P:P&amp;I</v>
      </c>
      <c r="D612" s="3">
        <f>D611+1</f>
        <v>785</v>
      </c>
      <c r="E612" s="3" t="str">
        <f>CONCAT("Q","/",LEFT(Table2[[#This Row],[Quotation Type]],1),"/", LEFT(Table2[[#This Row],[Branch]],1),"/", RIGHT(YEAR(TODAY()),2), "/",Table2[[#This Row],[Seq. Number]])</f>
        <v>Q/N/P/26/785</v>
      </c>
      <c r="F612" s="3" t="str">
        <v>Elkashawy</v>
      </c>
      <c r="J612" s="3" t="str">
        <v>Ferrari</v>
      </c>
    </row>
    <row r="613">
      <c r="A613" s="3">
        <v>45499</v>
      </c>
      <c r="B613" s="3" t="str">
        <v>R:Renewal</v>
      </c>
      <c r="C613" s="3" t="str">
        <v>H:Hull</v>
      </c>
      <c r="D613" s="3">
        <f>D612+1</f>
        <v>786</v>
      </c>
      <c r="E613" s="3" t="str">
        <f>CONCAT("Q","/",LEFT(Table2[[#This Row],[Quotation Type]],1),"/", LEFT(Table2[[#This Row],[Branch]],1),"/", RIGHT(YEAR(TODAY()),2), "/",Table2[[#This Row],[Seq. Number]])</f>
        <v>Q/R/H/26/786</v>
      </c>
      <c r="F613" s="3" t="str">
        <v>Al Ayyat</v>
      </c>
      <c r="G613" s="3" t="str">
        <v>Taiba</v>
      </c>
      <c r="I613" s="3" t="str">
        <v>MLV</v>
      </c>
      <c r="J613" s="3" t="str">
        <v>Direct</v>
      </c>
    </row>
    <row r="614">
      <c r="A614" s="3">
        <v>45502</v>
      </c>
      <c r="B614" s="3" t="str">
        <v>A:Addition</v>
      </c>
      <c r="C614" s="3" t="str">
        <v>H:Hull</v>
      </c>
      <c r="D614" s="3">
        <f>D613+1</f>
        <v>787</v>
      </c>
      <c r="E614" s="3" t="str">
        <f>CONCAT("Q","/",LEFT(Table2[[#This Row],[Quotation Type]],1),"/", LEFT(Table2[[#This Row],[Branch]],1),"/", RIGHT(YEAR(TODAY()),2), "/",Table2[[#This Row],[Seq. Number]])</f>
        <v>Q/A/H/26/787</v>
      </c>
      <c r="F614" s="3" t="str">
        <v>Ulgen</v>
      </c>
      <c r="I614" s="3" t="str">
        <v>Cement</v>
      </c>
      <c r="J614" s="3" t="str">
        <v>City</v>
      </c>
    </row>
    <row r="615">
      <c r="A615" s="3">
        <v>45502</v>
      </c>
      <c r="B615" s="3" t="str">
        <v>A:Addition</v>
      </c>
      <c r="C615" s="3" t="str">
        <v>H:Hull</v>
      </c>
      <c r="D615" s="3">
        <f>D614+1</f>
        <v>788</v>
      </c>
      <c r="E615" s="3" t="str">
        <f>CONCAT("Q","/",LEFT(Table2[[#This Row],[Quotation Type]],1),"/", LEFT(Table2[[#This Row],[Branch]],1),"/", RIGHT(YEAR(TODAY()),2), "/",Table2[[#This Row],[Seq. Number]])</f>
        <v>Q/A/H/26/788</v>
      </c>
      <c r="F615" s="3" t="str">
        <v>Dragonet Shipping</v>
      </c>
      <c r="G615" s="3" t="str">
        <v>Seaworld Marine 2</v>
      </c>
      <c r="I615" s="3" t="str">
        <v>Ro-Ro</v>
      </c>
      <c r="J615" s="3" t="str">
        <v>Direct</v>
      </c>
    </row>
    <row r="616">
      <c r="A616" s="3">
        <v>45502</v>
      </c>
      <c r="B616" s="3" t="str">
        <v>A:Addition</v>
      </c>
      <c r="C616" s="3" t="str">
        <v>P:P&amp;I</v>
      </c>
      <c r="D616" s="3">
        <f>D615+1</f>
        <v>789</v>
      </c>
      <c r="E616" s="3" t="str">
        <f>CONCAT("Q","/",LEFT(Table2[[#This Row],[Quotation Type]],1),"/", LEFT(Table2[[#This Row],[Branch]],1),"/", RIGHT(YEAR(TODAY()),2), "/",Table2[[#This Row],[Seq. Number]])</f>
        <v>Q/A/P/26/789</v>
      </c>
      <c r="F616" s="3" t="str">
        <v>Dragonet Shipping</v>
      </c>
      <c r="G616" s="3" t="str">
        <v>Seaworld Marine 2</v>
      </c>
      <c r="I616" s="3" t="str">
        <v>Ro-Ro</v>
      </c>
      <c r="J616" s="3" t="str">
        <v>Direct</v>
      </c>
    </row>
    <row r="617">
      <c r="A617" s="3">
        <v>45502</v>
      </c>
      <c r="B617" s="3" t="str">
        <v>N:New Quotation</v>
      </c>
      <c r="C617" s="3" t="str">
        <v>H:Hull</v>
      </c>
      <c r="D617" s="3">
        <f>D616+1</f>
        <v>790</v>
      </c>
      <c r="E617" s="3" t="str">
        <f>CONCAT("Q","/",LEFT(Table2[[#This Row],[Quotation Type]],1),"/", LEFT(Table2[[#This Row],[Branch]],1),"/", RIGHT(YEAR(TODAY()),2), "/",Table2[[#This Row],[Seq. Number]])</f>
        <v>Q/N/H/26/790</v>
      </c>
      <c r="G617" s="3" t="str">
        <v>Kassia</v>
      </c>
      <c r="I617" s="3" t="str">
        <v>O/T</v>
      </c>
      <c r="J617" s="3" t="str">
        <v>City</v>
      </c>
    </row>
    <row r="618">
      <c r="A618" s="3">
        <v>45502</v>
      </c>
      <c r="B618" s="3" t="str">
        <v>N:New Quotation</v>
      </c>
      <c r="C618" s="3" t="str">
        <v>H:Hull</v>
      </c>
      <c r="D618" s="3">
        <f>D617+1</f>
        <v>791</v>
      </c>
      <c r="E618" s="3" t="str">
        <f>CONCAT("Q","/",LEFT(Table2[[#This Row],[Quotation Type]],1),"/", LEFT(Table2[[#This Row],[Branch]],1),"/", RIGHT(YEAR(TODAY()),2), "/",Table2[[#This Row],[Seq. Number]])</f>
        <v>Q/N/H/26/791</v>
      </c>
      <c r="G618" s="3" t="str">
        <v>Arbol</v>
      </c>
      <c r="I618" s="3" t="str">
        <v>O/T</v>
      </c>
      <c r="J618" s="3" t="str">
        <v>City</v>
      </c>
    </row>
    <row r="619">
      <c r="A619" s="3">
        <v>45503</v>
      </c>
      <c r="B619" s="3" t="str">
        <v>A:Addition</v>
      </c>
      <c r="C619" s="3" t="str">
        <v>W:War</v>
      </c>
      <c r="D619" s="3">
        <f>D618+1</f>
        <v>792</v>
      </c>
      <c r="E619" s="3" t="str">
        <f>CONCAT("Q","/",LEFT(Table2[[#This Row],[Quotation Type]],1),"/", LEFT(Table2[[#This Row],[Branch]],1),"/", RIGHT(YEAR(TODAY()),2), "/",Table2[[#This Row],[Seq. Number]])</f>
        <v>Q/A/W/26/792</v>
      </c>
      <c r="F619" s="3" t="str">
        <v>Ulgen</v>
      </c>
      <c r="I619" s="3" t="str">
        <v>Cement</v>
      </c>
      <c r="J619" s="3" t="str">
        <v>City</v>
      </c>
    </row>
    <row r="620">
      <c r="A620" s="3">
        <v>45503</v>
      </c>
      <c r="B620" s="3" t="str">
        <v>A:Addition</v>
      </c>
      <c r="C620" s="3" t="str">
        <v>P:P&amp;I</v>
      </c>
      <c r="D620" s="3">
        <f>D619+1</f>
        <v>793</v>
      </c>
      <c r="E620" s="3" t="str">
        <f>CONCAT("Q","/",LEFT(Table2[[#This Row],[Quotation Type]],1),"/", LEFT(Table2[[#This Row],[Branch]],1),"/", RIGHT(YEAR(TODAY()),2), "/",Table2[[#This Row],[Seq. Number]])</f>
        <v>Q/A/P/26/793</v>
      </c>
      <c r="F620" s="3" t="str">
        <v>Deeb Shipping</v>
      </c>
      <c r="I620" s="3" t="str">
        <v>GC</v>
      </c>
      <c r="J620" s="3" t="str">
        <v>Mesco</v>
      </c>
    </row>
    <row r="621">
      <c r="A621" s="3">
        <v>45503</v>
      </c>
      <c r="B621" s="3" t="str">
        <v>A:Addition</v>
      </c>
      <c r="C621" s="3" t="str">
        <v>P:P&amp;I</v>
      </c>
      <c r="D621" s="3">
        <f>D620+1</f>
        <v>794</v>
      </c>
      <c r="E621" s="3" t="str">
        <f>CONCAT("Q","/",LEFT(Table2[[#This Row],[Quotation Type]],1),"/", LEFT(Table2[[#This Row],[Branch]],1),"/", RIGHT(YEAR(TODAY()),2), "/",Table2[[#This Row],[Seq. Number]])</f>
        <v>Q/A/P/26/794</v>
      </c>
      <c r="G621" s="3" t="str">
        <v>Lady Joy</v>
      </c>
      <c r="I621" s="3" t="str">
        <v>GC</v>
      </c>
      <c r="J621" s="3" t="str">
        <v>SSS</v>
      </c>
    </row>
    <row r="622">
      <c r="A622" s="3">
        <v>45503</v>
      </c>
      <c r="B622" s="3" t="str">
        <v>R:Renewal</v>
      </c>
      <c r="C622" s="3" t="str">
        <v>P:P&amp;I</v>
      </c>
      <c r="D622" s="3">
        <f>D621+1</f>
        <v>795</v>
      </c>
      <c r="E622" s="3" t="str">
        <f>CONCAT("Q","/",LEFT(Table2[[#This Row],[Quotation Type]],1),"/", LEFT(Table2[[#This Row],[Branch]],1),"/", RIGHT(YEAR(TODAY()),2), "/",Table2[[#This Row],[Seq. Number]])</f>
        <v>Q/R/P/26/795</v>
      </c>
      <c r="G622" s="3" t="str">
        <v>Hasan</v>
      </c>
      <c r="I622" s="3" t="str">
        <v>GC</v>
      </c>
      <c r="J622" s="3" t="str">
        <v>Direct</v>
      </c>
    </row>
    <row r="623">
      <c r="A623" s="3">
        <v>45504</v>
      </c>
      <c r="B623" s="3" t="str">
        <v>N:New Quotation</v>
      </c>
      <c r="C623" s="3" t="str">
        <v>H:Hull</v>
      </c>
      <c r="D623" s="3">
        <f>D622+1</f>
        <v>796</v>
      </c>
      <c r="E623" s="3" t="str">
        <f>CONCAT("Q","/",LEFT(Table2[[#This Row],[Quotation Type]],1),"/", LEFT(Table2[[#This Row],[Branch]],1),"/", RIGHT(YEAR(TODAY()),2), "/",Table2[[#This Row],[Seq. Number]])</f>
        <v>Q/N/H/26/796</v>
      </c>
      <c r="G623" s="3" t="str">
        <v>Boya</v>
      </c>
      <c r="I623" s="3" t="str">
        <v>GC</v>
      </c>
      <c r="J623" s="3" t="str">
        <v>Mesco</v>
      </c>
    </row>
    <row r="624">
      <c r="A624" s="3">
        <v>45504</v>
      </c>
      <c r="B624" s="3" t="str">
        <v>N:New Quotation</v>
      </c>
      <c r="C624" s="3" t="str">
        <v>P:P&amp;I</v>
      </c>
      <c r="D624" s="3">
        <f>D623+1</f>
        <v>797</v>
      </c>
      <c r="E624" s="3" t="str">
        <f>CONCAT("Q","/",LEFT(Table2[[#This Row],[Quotation Type]],1),"/", LEFT(Table2[[#This Row],[Branch]],1),"/", RIGHT(YEAR(TODAY()),2), "/",Table2[[#This Row],[Seq. Number]])</f>
        <v>Q/N/P/26/797</v>
      </c>
      <c r="G624" s="3" t="str">
        <v>Boya</v>
      </c>
      <c r="I624" s="3" t="str">
        <v>GC</v>
      </c>
      <c r="J624" s="3" t="str">
        <v>Mesco</v>
      </c>
    </row>
    <row r="625">
      <c r="A625" s="3">
        <v>45504</v>
      </c>
      <c r="B625" s="3" t="str">
        <v>A:Addition</v>
      </c>
      <c r="C625" s="3" t="str">
        <v>H:Hull</v>
      </c>
      <c r="D625" s="3">
        <f>D624+1</f>
        <v>798</v>
      </c>
      <c r="E625" s="3" t="str">
        <f>CONCAT("Q","/",LEFT(Table2[[#This Row],[Quotation Type]],1),"/", LEFT(Table2[[#This Row],[Branch]],1),"/", RIGHT(YEAR(TODAY()),2), "/",Table2[[#This Row],[Seq. Number]])</f>
        <v>Q/A/H/26/798</v>
      </c>
      <c r="F625" s="3" t="str">
        <v>Med Sea Shipping</v>
      </c>
      <c r="G625" s="3" t="str">
        <v>New Born</v>
      </c>
      <c r="I625" s="3" t="str">
        <v>BC</v>
      </c>
      <c r="J625" s="3" t="str">
        <v>Mesco</v>
      </c>
    </row>
    <row r="626">
      <c r="A626" s="3">
        <v>45504</v>
      </c>
      <c r="B626" s="3" t="str">
        <v>R:Renewal</v>
      </c>
      <c r="C626" s="3" t="str">
        <v>H:Hull</v>
      </c>
      <c r="D626" s="3">
        <f>D625+1</f>
        <v>799</v>
      </c>
      <c r="E626" s="3" t="str">
        <f>CONCAT("Q","/",LEFT(Table2[[#This Row],[Quotation Type]],1),"/", LEFT(Table2[[#This Row],[Branch]],1),"/", RIGHT(YEAR(TODAY()),2), "/",Table2[[#This Row],[Seq. Number]])</f>
        <v>Q/R/H/26/799</v>
      </c>
      <c r="F626" s="3" t="str">
        <v>United Marine Egypt</v>
      </c>
      <c r="I626" s="3" t="str">
        <v>Ro-Ro</v>
      </c>
      <c r="J626" s="3" t="str">
        <v>Fairwater</v>
      </c>
    </row>
    <row r="627">
      <c r="A627" s="3">
        <v>45504</v>
      </c>
      <c r="B627" s="3" t="str">
        <v>A:Addition</v>
      </c>
      <c r="C627" s="3" t="str">
        <v>P:P&amp;I</v>
      </c>
      <c r="D627" s="3">
        <f>D626+1</f>
        <v>800</v>
      </c>
      <c r="E627" s="3" t="str">
        <f>CONCAT("Q","/",LEFT(Table2[[#This Row],[Quotation Type]],1),"/", LEFT(Table2[[#This Row],[Branch]],1),"/", RIGHT(YEAR(TODAY()),2), "/",Table2[[#This Row],[Seq. Number]])</f>
        <v>Q/A/P/26/800</v>
      </c>
      <c r="F627" s="3" t="str">
        <v>RTSS</v>
      </c>
      <c r="G627" s="3" t="str">
        <v>LSS Success</v>
      </c>
      <c r="I627" s="3" t="str">
        <v>MLV</v>
      </c>
      <c r="J627" s="3" t="str">
        <v>City</v>
      </c>
    </row>
    <row r="628">
      <c r="A628" s="3">
        <v>45504</v>
      </c>
      <c r="B628" s="3" t="str">
        <v>N:New Quotation</v>
      </c>
      <c r="C628" s="3" t="str">
        <v>P:P&amp;I</v>
      </c>
      <c r="D628" s="3">
        <f>D627+1</f>
        <v>801</v>
      </c>
      <c r="E628" s="3" t="str">
        <f>CONCAT("Q","/",LEFT(Table2[[#This Row],[Quotation Type]],1),"/", LEFT(Table2[[#This Row],[Branch]],1),"/", RIGHT(YEAR(TODAY()),2), "/",Table2[[#This Row],[Seq. Number]])</f>
        <v>Q/N/P/26/801</v>
      </c>
      <c r="G628" s="3" t="str">
        <v>Tihamah</v>
      </c>
      <c r="I628" s="3" t="str">
        <v>GC</v>
      </c>
      <c r="J628" s="3" t="str">
        <v>Mesco</v>
      </c>
    </row>
    <row r="629">
      <c r="A629" s="3">
        <v>45504</v>
      </c>
      <c r="B629" s="3" t="str">
        <v>R:Renewal</v>
      </c>
      <c r="C629" s="3" t="str">
        <v>H:Hull</v>
      </c>
      <c r="D629" s="3">
        <f>D628+1</f>
        <v>802</v>
      </c>
      <c r="E629" s="3" t="str">
        <f>CONCAT("Q","/",LEFT(Table2[[#This Row],[Quotation Type]],1),"/", LEFT(Table2[[#This Row],[Branch]],1),"/", RIGHT(YEAR(TODAY()),2), "/",Table2[[#This Row],[Seq. Number]])</f>
        <v>Q/R/H/26/802</v>
      </c>
      <c r="G629" s="3" t="str">
        <v>Maher</v>
      </c>
      <c r="I629" s="3" t="str">
        <v>GC</v>
      </c>
      <c r="J629" s="3" t="str">
        <v>Direct</v>
      </c>
    </row>
    <row r="630">
      <c r="A630" s="3">
        <v>45504</v>
      </c>
      <c r="B630" s="3" t="str">
        <v>R:Renewal</v>
      </c>
      <c r="C630" s="3" t="str">
        <v>P:P&amp;I</v>
      </c>
      <c r="D630" s="3">
        <f>D629+1</f>
        <v>803</v>
      </c>
      <c r="E630" s="3" t="str">
        <f>CONCAT("Q","/",LEFT(Table2[[#This Row],[Quotation Type]],1),"/", LEFT(Table2[[#This Row],[Branch]],1),"/", RIGHT(YEAR(TODAY()),2), "/",Table2[[#This Row],[Seq. Number]])</f>
        <v>Q/R/P/26/803</v>
      </c>
      <c r="G630" s="3" t="str">
        <v>Maher</v>
      </c>
      <c r="I630" s="3" t="str">
        <v>GC</v>
      </c>
      <c r="J630" s="3" t="str">
        <v>Direct</v>
      </c>
    </row>
    <row r="631">
      <c r="A631" s="3">
        <v>45505</v>
      </c>
      <c r="B631" s="3" t="str">
        <v>N:New Quotation</v>
      </c>
      <c r="C631" s="3" t="str">
        <v>W:War</v>
      </c>
      <c r="D631" s="3">
        <f>D630+1</f>
        <v>804</v>
      </c>
      <c r="E631" s="3" t="str">
        <f>CONCAT("Q","/",LEFT(Table2[[#This Row],[Quotation Type]],1),"/", LEFT(Table2[[#This Row],[Branch]],1),"/", RIGHT(YEAR(TODAY()),2), "/",Table2[[#This Row],[Seq. Number]])</f>
        <v>Q/N/W/26/804</v>
      </c>
      <c r="G631" s="3" t="str">
        <v>Kassia</v>
      </c>
      <c r="I631" s="3" t="str">
        <v>O/T</v>
      </c>
      <c r="J631" s="3" t="str">
        <v>City</v>
      </c>
    </row>
    <row r="632">
      <c r="A632" s="3">
        <v>45509</v>
      </c>
      <c r="B632" s="3" t="str">
        <v>N:New Quotation</v>
      </c>
      <c r="C632" s="3" t="str">
        <v>H:Hull</v>
      </c>
      <c r="D632" s="3">
        <f>D631+1</f>
        <v>805</v>
      </c>
      <c r="E632" s="3" t="str">
        <f>CONCAT("Q","/",LEFT(Table2[[#This Row],[Quotation Type]],1),"/", LEFT(Table2[[#This Row],[Branch]],1),"/", RIGHT(YEAR(TODAY()),2), "/",Table2[[#This Row],[Seq. Number]])</f>
        <v>Q/N/H/26/805</v>
      </c>
      <c r="G632" s="3" t="str">
        <v>Alkhudair Star</v>
      </c>
      <c r="I632" s="3" t="str">
        <v>MLV</v>
      </c>
      <c r="J632" s="3" t="str">
        <v>Observator</v>
      </c>
    </row>
    <row r="633">
      <c r="A633" s="3">
        <v>45509</v>
      </c>
      <c r="B633" s="3" t="str">
        <v>N:New Quotation</v>
      </c>
      <c r="C633" s="3" t="str">
        <v>P:P&amp;I</v>
      </c>
      <c r="D633" s="3">
        <f>D632+1</f>
        <v>806</v>
      </c>
      <c r="E633" s="3" t="str">
        <f>CONCAT("Q","/",LEFT(Table2[[#This Row],[Quotation Type]],1),"/", LEFT(Table2[[#This Row],[Branch]],1),"/", RIGHT(YEAR(TODAY()),2), "/",Table2[[#This Row],[Seq. Number]])</f>
        <v>Q/N/P/26/806</v>
      </c>
      <c r="G633" s="3" t="str">
        <v>Alkhudair Star</v>
      </c>
      <c r="I633" s="3" t="str">
        <v>MLV</v>
      </c>
      <c r="J633" s="3" t="str">
        <v>Observator</v>
      </c>
    </row>
    <row r="634">
      <c r="A634" s="3">
        <v>45512</v>
      </c>
      <c r="B634" s="3" t="str">
        <v>R:Renewal</v>
      </c>
      <c r="C634" s="3" t="str">
        <v>H:Hull</v>
      </c>
      <c r="D634" s="3">
        <f>D633+1</f>
        <v>807</v>
      </c>
      <c r="E634" s="3" t="str">
        <f>CONCAT("Q","/",LEFT(Table2[[#This Row],[Quotation Type]],1),"/", LEFT(Table2[[#This Row],[Branch]],1),"/", RIGHT(YEAR(TODAY()),2), "/",Table2[[#This Row],[Seq. Number]])</f>
        <v>Q/R/H/26/807</v>
      </c>
      <c r="F634" s="3" t="str">
        <v>Elkashawy</v>
      </c>
      <c r="G634" s="3" t="str">
        <v>Golden Rose</v>
      </c>
      <c r="I634" s="3" t="str">
        <v>GC</v>
      </c>
      <c r="J634" s="3" t="str">
        <v>Direct</v>
      </c>
    </row>
    <row r="635">
      <c r="A635" s="3">
        <v>45512</v>
      </c>
      <c r="B635" s="3" t="str">
        <v>R:Renewal</v>
      </c>
      <c r="C635" s="3" t="str">
        <v>H:Hull</v>
      </c>
      <c r="D635" s="3">
        <f>D634+1</f>
        <v>808</v>
      </c>
      <c r="E635" s="3" t="str">
        <f>CONCAT("Q","/",LEFT(Table2[[#This Row],[Quotation Type]],1),"/", LEFT(Table2[[#This Row],[Branch]],1),"/", RIGHT(YEAR(TODAY()),2), "/",Table2[[#This Row],[Seq. Number]])</f>
        <v>Q/R/H/26/808</v>
      </c>
      <c r="F635" s="3" t="str">
        <v>Elkashawy</v>
      </c>
      <c r="G635" s="3" t="str">
        <v>Golden Bird</v>
      </c>
      <c r="I635" s="3" t="str">
        <v>GC</v>
      </c>
      <c r="J635" s="3" t="str">
        <v>Direct</v>
      </c>
    </row>
    <row r="636">
      <c r="A636" s="3">
        <v>45512</v>
      </c>
      <c r="B636" s="3" t="str">
        <v>R:Renewal</v>
      </c>
      <c r="C636" s="3" t="str">
        <v>H:Hull</v>
      </c>
      <c r="D636" s="3">
        <f>D635+1</f>
        <v>809</v>
      </c>
      <c r="E636" s="3" t="str">
        <f>CONCAT("Q","/",LEFT(Table2[[#This Row],[Quotation Type]],1),"/", LEFT(Table2[[#This Row],[Branch]],1),"/", RIGHT(YEAR(TODAY()),2), "/",Table2[[#This Row],[Seq. Number]])</f>
        <v>Q/R/H/26/809</v>
      </c>
      <c r="F636" s="3" t="str">
        <v>Elkashawy</v>
      </c>
      <c r="G636" s="3" t="str">
        <v>Golden Shark</v>
      </c>
      <c r="I636" s="3" t="str">
        <v>GC</v>
      </c>
      <c r="J636" s="3" t="str">
        <v>Direct</v>
      </c>
    </row>
    <row r="637">
      <c r="A637" s="3">
        <v>45516</v>
      </c>
      <c r="B637" s="3" t="str">
        <v>N:New Quotation</v>
      </c>
      <c r="C637" s="3" t="str">
        <v>P:P&amp;I</v>
      </c>
      <c r="D637" s="3">
        <f>D636+1</f>
        <v>810</v>
      </c>
      <c r="E637" s="3" t="str">
        <f>CONCAT("Q","/",LEFT(Table2[[#This Row],[Quotation Type]],1),"/", LEFT(Table2[[#This Row],[Branch]],1),"/", RIGHT(YEAR(TODAY()),2), "/",Table2[[#This Row],[Seq. Number]])</f>
        <v>Q/N/P/26/810</v>
      </c>
      <c r="G637" s="3" t="str">
        <v>Gold Lucky</v>
      </c>
      <c r="I637" s="3" t="str">
        <v>GC</v>
      </c>
      <c r="J637" s="3" t="str">
        <v>Lockton</v>
      </c>
    </row>
    <row r="638">
      <c r="A638" s="3">
        <v>45516</v>
      </c>
      <c r="B638" s="3" t="str">
        <v>N:New Quotation</v>
      </c>
      <c r="C638" s="3" t="str">
        <v>P:P&amp;I</v>
      </c>
      <c r="D638" s="3">
        <f>D637+1</f>
        <v>811</v>
      </c>
      <c r="E638" s="3" t="str">
        <f>CONCAT("Q","/",LEFT(Table2[[#This Row],[Quotation Type]],1),"/", LEFT(Table2[[#This Row],[Branch]],1),"/", RIGHT(YEAR(TODAY()),2), "/",Table2[[#This Row],[Seq. Number]])</f>
        <v>Q/N/P/26/811</v>
      </c>
      <c r="F638" s="3" t="str">
        <v>Ulgen</v>
      </c>
      <c r="G638" s="3" t="str">
        <v>Rizecem</v>
      </c>
      <c r="I638" s="3" t="str">
        <v>Cement</v>
      </c>
      <c r="J638" s="3" t="str">
        <v>Mesco</v>
      </c>
    </row>
    <row r="639">
      <c r="A639" s="3">
        <v>45517</v>
      </c>
      <c r="B639" s="3" t="str">
        <v>R:Renewal</v>
      </c>
      <c r="C639" s="3" t="str">
        <v>Y:Yacht</v>
      </c>
      <c r="D639" s="3">
        <f>D638+1</f>
        <v>812</v>
      </c>
      <c r="E639" s="3" t="str">
        <f>CONCAT("Q","/",LEFT(Table2[[#This Row],[Quotation Type]],1),"/", LEFT(Table2[[#This Row],[Branch]],1),"/", RIGHT(YEAR(TODAY()),2), "/",Table2[[#This Row],[Seq. Number]])</f>
        <v>Q/R/Y/26/812</v>
      </c>
      <c r="F639" s="3" t="str">
        <v>Navtech</v>
      </c>
      <c r="G639" s="3" t="str">
        <v>Black Hawk</v>
      </c>
      <c r="I639" s="3" t="str">
        <v>Yacht</v>
      </c>
      <c r="J639" s="3" t="str">
        <v>City</v>
      </c>
    </row>
    <row r="640">
      <c r="A640" s="3">
        <v>45517</v>
      </c>
      <c r="B640" s="3" t="str">
        <v>N:New Quotation</v>
      </c>
      <c r="C640" s="3" t="str">
        <v>V:Voyage</v>
      </c>
      <c r="D640" s="3">
        <f>D639+1</f>
        <v>813</v>
      </c>
      <c r="E640" s="3" t="str">
        <f>CONCAT("Q","/",LEFT(Table2[[#This Row],[Quotation Type]],1),"/", LEFT(Table2[[#This Row],[Branch]],1),"/", RIGHT(YEAR(TODAY()),2), "/",Table2[[#This Row],[Seq. Number]])</f>
        <v>Q/N/V/26/813</v>
      </c>
      <c r="F640" s="3" t="str">
        <v>SSS</v>
      </c>
      <c r="G640" s="3" t="str">
        <v>Mar Tirreno</v>
      </c>
      <c r="I640" s="3" t="str">
        <v>O/T</v>
      </c>
      <c r="J640" s="3" t="str">
        <v>SSS</v>
      </c>
    </row>
    <row r="641">
      <c r="A641" s="3">
        <v>45517</v>
      </c>
      <c r="B641" s="3" t="str">
        <v>N:New Quotation</v>
      </c>
      <c r="C641" s="3" t="str">
        <v>H:Hull</v>
      </c>
      <c r="D641" s="3">
        <f>D640+1</f>
        <v>814</v>
      </c>
      <c r="E641" s="3" t="str">
        <f>CONCAT("Q","/",LEFT(Table2[[#This Row],[Quotation Type]],1),"/", LEFT(Table2[[#This Row],[Branch]],1),"/", RIGHT(YEAR(TODAY()),2), "/",Table2[[#This Row],[Seq. Number]])</f>
        <v>Q/N/H/26/814</v>
      </c>
      <c r="G641" s="3" t="str">
        <v>Subaru 7</v>
      </c>
      <c r="I641" s="3" t="str">
        <v>GC</v>
      </c>
      <c r="J641" s="3" t="str">
        <v>City</v>
      </c>
    </row>
    <row r="642">
      <c r="A642" s="3">
        <v>45517</v>
      </c>
      <c r="B642" s="3" t="str">
        <v>N:New Quotation</v>
      </c>
      <c r="C642" s="3" t="str">
        <v>W:War</v>
      </c>
      <c r="D642" s="3">
        <f>D641+1</f>
        <v>815</v>
      </c>
      <c r="E642" s="3" t="str">
        <f>CONCAT("Q","/",LEFT(Table2[[#This Row],[Quotation Type]],1),"/", LEFT(Table2[[#This Row],[Branch]],1),"/", RIGHT(YEAR(TODAY()),2), "/",Table2[[#This Row],[Seq. Number]])</f>
        <v>Q/N/W/26/815</v>
      </c>
      <c r="G642" s="3" t="str">
        <v>Subaru 7</v>
      </c>
      <c r="I642" s="3" t="str">
        <v>GC</v>
      </c>
      <c r="J642" s="3" t="str">
        <v>City</v>
      </c>
    </row>
    <row r="643">
      <c r="A643" s="3">
        <v>45518</v>
      </c>
      <c r="B643" s="3" t="str">
        <v>N:New Quotation</v>
      </c>
      <c r="C643" s="3" t="str">
        <v>H:Hull</v>
      </c>
      <c r="D643" s="3">
        <f>D642+1</f>
        <v>816</v>
      </c>
      <c r="E643" s="3" t="str">
        <f>CONCAT("Q","/",LEFT(Table2[[#This Row],[Quotation Type]],1),"/", LEFT(Table2[[#This Row],[Branch]],1),"/", RIGHT(YEAR(TODAY()),2), "/",Table2[[#This Row],[Seq. Number]])</f>
        <v>Q/N/H/26/816</v>
      </c>
      <c r="G643" s="3" t="str">
        <v>Levroso</v>
      </c>
      <c r="I643" s="3" t="str">
        <v>BC</v>
      </c>
      <c r="J643" s="3" t="str">
        <v>City</v>
      </c>
    </row>
    <row r="644">
      <c r="A644" s="3">
        <v>45518</v>
      </c>
      <c r="B644" s="3" t="str">
        <v>N:New Quotation</v>
      </c>
      <c r="C644" s="3" t="str">
        <v>W:War</v>
      </c>
      <c r="D644" s="3">
        <f>D643+1</f>
        <v>817</v>
      </c>
      <c r="E644" s="3" t="str">
        <f>CONCAT("Q","/",LEFT(Table2[[#This Row],[Quotation Type]],1),"/", LEFT(Table2[[#This Row],[Branch]],1),"/", RIGHT(YEAR(TODAY()),2), "/",Table2[[#This Row],[Seq. Number]])</f>
        <v>Q/N/W/26/817</v>
      </c>
      <c r="G644" s="3" t="str">
        <v>Levroso</v>
      </c>
      <c r="I644" s="3" t="str">
        <v>BC</v>
      </c>
      <c r="J644" s="3" t="str">
        <v>City</v>
      </c>
    </row>
    <row r="645">
      <c r="A645" s="3">
        <v>45518</v>
      </c>
      <c r="B645" s="3" t="str">
        <v>A:Addition</v>
      </c>
      <c r="C645" s="3" t="str">
        <v>P:P&amp;I</v>
      </c>
      <c r="D645" s="3">
        <f>D644+1</f>
        <v>818</v>
      </c>
      <c r="E645" s="3" t="str">
        <f>CONCAT("Q","/",LEFT(Table2[[#This Row],[Quotation Type]],1),"/", LEFT(Table2[[#This Row],[Branch]],1),"/", RIGHT(YEAR(TODAY()),2), "/",Table2[[#This Row],[Seq. Number]])</f>
        <v>Q/A/P/26/818</v>
      </c>
      <c r="G645" s="3" t="str">
        <v>Lady Khadija</v>
      </c>
      <c r="I645" s="3" t="str">
        <v>GC</v>
      </c>
      <c r="J645" s="3" t="str">
        <v>Brandenburg</v>
      </c>
    </row>
    <row r="646">
      <c r="A646" s="3">
        <v>45520</v>
      </c>
      <c r="B646" s="3" t="str">
        <v>R:Renewal</v>
      </c>
      <c r="C646" s="3" t="str">
        <v>H:Hull</v>
      </c>
      <c r="D646" s="3">
        <f>D645+1</f>
        <v>819</v>
      </c>
      <c r="E646" s="3" t="str">
        <f>CONCAT("Q","/",LEFT(Table2[[#This Row],[Quotation Type]],1),"/", LEFT(Table2[[#This Row],[Branch]],1),"/", RIGHT(YEAR(TODAY()),2), "/",Table2[[#This Row],[Seq. Number]])</f>
        <v>Q/R/H/26/819</v>
      </c>
      <c r="G646" s="3" t="str">
        <v>Esperanza B</v>
      </c>
      <c r="I646" s="3" t="str">
        <v>GC</v>
      </c>
      <c r="J646" s="3" t="str">
        <v>Brandenburg</v>
      </c>
    </row>
    <row r="647">
      <c r="A647" s="3">
        <v>45520</v>
      </c>
      <c r="B647" s="3" t="str">
        <v>R:Renewal</v>
      </c>
      <c r="C647" s="3" t="str">
        <v>P:P&amp;I</v>
      </c>
      <c r="D647" s="3">
        <f>D646+1</f>
        <v>820</v>
      </c>
      <c r="E647" s="3" t="str">
        <f>CONCAT("Q","/",LEFT(Table2[[#This Row],[Quotation Type]],1),"/", LEFT(Table2[[#This Row],[Branch]],1),"/", RIGHT(YEAR(TODAY()),2), "/",Table2[[#This Row],[Seq. Number]])</f>
        <v>Q/R/P/26/820</v>
      </c>
      <c r="G647" s="3" t="str">
        <v>Esperanza B</v>
      </c>
      <c r="I647" s="3" t="str">
        <v>GC</v>
      </c>
      <c r="J647" s="3" t="str">
        <v>Brandenburg</v>
      </c>
    </row>
    <row r="648">
      <c r="A648" s="3">
        <v>45520</v>
      </c>
      <c r="B648" s="3" t="str">
        <v>N:New Quotation</v>
      </c>
      <c r="C648" s="3" t="str">
        <v>H:Hull</v>
      </c>
      <c r="D648" s="3">
        <f>D647+1</f>
        <v>821</v>
      </c>
      <c r="E648" s="3" t="str">
        <f>CONCAT("Q","/",LEFT(Table2[[#This Row],[Quotation Type]],1),"/", LEFT(Table2[[#This Row],[Branch]],1),"/", RIGHT(YEAR(TODAY()),2), "/",Table2[[#This Row],[Seq. Number]])</f>
        <v>Q/N/H/26/821</v>
      </c>
      <c r="G648" s="3" t="str">
        <v>Lata 1</v>
      </c>
      <c r="I648" s="3" t="str">
        <v>O/T</v>
      </c>
      <c r="J648" s="3" t="str">
        <v>Newberry</v>
      </c>
    </row>
    <row r="649">
      <c r="A649" s="3">
        <v>45524</v>
      </c>
      <c r="B649" s="3" t="str">
        <v>N:New Quotation</v>
      </c>
      <c r="C649" s="3" t="str">
        <v>P:P&amp;I</v>
      </c>
      <c r="D649" s="3">
        <f>D648+1</f>
        <v>822</v>
      </c>
      <c r="E649" s="3" t="str">
        <f>CONCAT("Q","/",LEFT(Table2[[#This Row],[Quotation Type]],1),"/", LEFT(Table2[[#This Row],[Branch]],1),"/", RIGHT(YEAR(TODAY()),2), "/",Table2[[#This Row],[Seq. Number]])</f>
        <v>Q/N/P/26/822</v>
      </c>
      <c r="F649" s="3" t="str">
        <v>Blue Bay</v>
      </c>
      <c r="I649" s="3" t="str">
        <v>GC</v>
      </c>
      <c r="J649" s="3" t="str">
        <v>Brandenburg</v>
      </c>
    </row>
    <row r="650">
      <c r="A650" s="3">
        <v>45525</v>
      </c>
      <c r="B650" s="3" t="str">
        <v>R:Renewal</v>
      </c>
      <c r="C650" s="3" t="str">
        <v>H:Hull</v>
      </c>
      <c r="D650" s="3">
        <f>D649+1</f>
        <v>823</v>
      </c>
      <c r="E650" s="3" t="str">
        <f>CONCAT("Q","/",LEFT(Table2[[#This Row],[Quotation Type]],1),"/", LEFT(Table2[[#This Row],[Branch]],1),"/", RIGHT(YEAR(TODAY()),2), "/",Table2[[#This Row],[Seq. Number]])</f>
        <v>Q/R/H/26/823</v>
      </c>
      <c r="F650" s="3" t="str">
        <v>Elbeco</v>
      </c>
      <c r="G650" s="3" t="str">
        <v>Queensland</v>
      </c>
      <c r="I650" s="3" t="str">
        <v>MLV</v>
      </c>
      <c r="J650" s="3" t="str">
        <v>Direct</v>
      </c>
    </row>
    <row r="651">
      <c r="A651" s="3">
        <v>45526</v>
      </c>
      <c r="B651" s="3" t="str">
        <v>A:Addition</v>
      </c>
      <c r="C651" s="3" t="str">
        <v>W:War</v>
      </c>
      <c r="D651" s="3">
        <f>D650+1</f>
        <v>824</v>
      </c>
      <c r="E651" s="3" t="str">
        <f>CONCAT("Q","/",LEFT(Table2[[#This Row],[Quotation Type]],1),"/", LEFT(Table2[[#This Row],[Branch]],1),"/", RIGHT(YEAR(TODAY()),2), "/",Table2[[#This Row],[Seq. Number]])</f>
        <v>Q/A/W/26/824</v>
      </c>
      <c r="F651" s="3" t="str">
        <v>Costalina</v>
      </c>
      <c r="G651" s="3" t="str">
        <v>Kavita</v>
      </c>
      <c r="I651" s="3" t="str">
        <v>BC</v>
      </c>
      <c r="J651" s="3" t="str">
        <v>City</v>
      </c>
    </row>
    <row r="652">
      <c r="A652" s="3">
        <v>45526</v>
      </c>
      <c r="B652" s="3" t="str">
        <v>N:New Quotation</v>
      </c>
      <c r="C652" s="3" t="str">
        <v>H:Hull</v>
      </c>
      <c r="D652" s="3">
        <f>D651+1</f>
        <v>825</v>
      </c>
      <c r="E652" s="3" t="str">
        <f>CONCAT("Q","/",LEFT(Table2[[#This Row],[Quotation Type]],1),"/", LEFT(Table2[[#This Row],[Branch]],1),"/", RIGHT(YEAR(TODAY()),2), "/",Table2[[#This Row],[Seq. Number]])</f>
        <v>Q/N/H/26/825</v>
      </c>
      <c r="G652" s="3" t="str">
        <v>HS Dignity</v>
      </c>
      <c r="I652" s="3" t="str">
        <v>GC</v>
      </c>
      <c r="J652" s="3" t="str">
        <v>Direct</v>
      </c>
    </row>
    <row r="653">
      <c r="A653" s="3">
        <v>45526</v>
      </c>
      <c r="B653" s="3" t="str">
        <v>N:New Quotation</v>
      </c>
      <c r="C653" s="3" t="str">
        <v>H:Hull</v>
      </c>
      <c r="D653" s="3">
        <f>D652+1</f>
        <v>826</v>
      </c>
      <c r="E653" s="3" t="str">
        <f>CONCAT("Q","/",LEFT(Table2[[#This Row],[Quotation Type]],1),"/", LEFT(Table2[[#This Row],[Branch]],1),"/", RIGHT(YEAR(TODAY()),2), "/",Table2[[#This Row],[Seq. Number]])</f>
        <v>Q/N/H/26/826</v>
      </c>
      <c r="G653" s="3" t="str">
        <v>Lara II</v>
      </c>
      <c r="I653" s="3" t="str">
        <v>O/T</v>
      </c>
      <c r="J653" s="3" t="str">
        <v>City</v>
      </c>
    </row>
    <row r="654">
      <c r="A654" s="3">
        <v>45526</v>
      </c>
      <c r="B654" s="3" t="str">
        <v>N:New Quotation</v>
      </c>
      <c r="C654" s="3" t="str">
        <v>W:War</v>
      </c>
      <c r="D654" s="3">
        <f>D653+1</f>
        <v>827</v>
      </c>
      <c r="E654" s="3" t="str">
        <f>CONCAT("Q","/",LEFT(Table2[[#This Row],[Quotation Type]],1),"/", LEFT(Table2[[#This Row],[Branch]],1),"/", RIGHT(YEAR(TODAY()),2), "/",Table2[[#This Row],[Seq. Number]])</f>
        <v>Q/N/W/26/827</v>
      </c>
      <c r="G654" s="3" t="str">
        <v>Lara II</v>
      </c>
      <c r="I654" s="3" t="str">
        <v>O/T</v>
      </c>
      <c r="J654" s="3" t="str">
        <v>City</v>
      </c>
    </row>
    <row r="655">
      <c r="A655" s="3">
        <v>45526</v>
      </c>
      <c r="B655" s="3" t="str">
        <v>N:New Quotation</v>
      </c>
      <c r="C655" s="3" t="str">
        <v>P:P&amp;I</v>
      </c>
      <c r="D655" s="3">
        <f>D654+1</f>
        <v>828</v>
      </c>
      <c r="E655" s="3" t="str">
        <f>CONCAT("Q","/",LEFT(Table2[[#This Row],[Quotation Type]],1),"/", LEFT(Table2[[#This Row],[Branch]],1),"/", RIGHT(YEAR(TODAY()),2), "/",Table2[[#This Row],[Seq. Number]])</f>
        <v>Q/N/P/26/828</v>
      </c>
      <c r="G655" s="3" t="str">
        <v>Trust</v>
      </c>
      <c r="I655" s="3" t="str">
        <v>GC</v>
      </c>
      <c r="J655" s="3" t="str">
        <v>Mesco</v>
      </c>
    </row>
    <row r="656">
      <c r="A656" s="3">
        <v>45527</v>
      </c>
      <c r="B656" s="3" t="str">
        <v>N:New Quotation</v>
      </c>
      <c r="C656" s="3" t="str">
        <v>H:Hull</v>
      </c>
      <c r="D656" s="3">
        <f>D655+1</f>
        <v>829</v>
      </c>
      <c r="E656" s="3" t="str">
        <f>CONCAT("Q","/",LEFT(Table2[[#This Row],[Quotation Type]],1),"/", LEFT(Table2[[#This Row],[Branch]],1),"/", RIGHT(YEAR(TODAY()),2), "/",Table2[[#This Row],[Seq. Number]])</f>
        <v>Q/N/H/26/829</v>
      </c>
      <c r="G656" s="3" t="str">
        <v>R C Star 1</v>
      </c>
      <c r="I656" s="3" t="str">
        <v>Tug</v>
      </c>
      <c r="J656" s="3" t="str">
        <v>City</v>
      </c>
    </row>
    <row r="657">
      <c r="A657" s="3">
        <v>45527</v>
      </c>
      <c r="B657" s="3" t="str">
        <v>N:New Quotation</v>
      </c>
      <c r="C657" s="3" t="str">
        <v>W:War</v>
      </c>
      <c r="D657" s="3">
        <f>D656+1</f>
        <v>830</v>
      </c>
      <c r="E657" s="3" t="str">
        <f>CONCAT("Q","/",LEFT(Table2[[#This Row],[Quotation Type]],1),"/", LEFT(Table2[[#This Row],[Branch]],1),"/", RIGHT(YEAR(TODAY()),2), "/",Table2[[#This Row],[Seq. Number]])</f>
        <v>Q/N/W/26/830</v>
      </c>
      <c r="G657" s="3" t="str">
        <v>R C Star 1</v>
      </c>
      <c r="I657" s="3" t="str">
        <v>Tug</v>
      </c>
      <c r="J657" s="3" t="str">
        <v>City</v>
      </c>
    </row>
    <row r="658">
      <c r="A658" s="3">
        <v>45530</v>
      </c>
      <c r="B658" s="3" t="str">
        <v>N:New Quotation</v>
      </c>
      <c r="C658" s="3" t="str">
        <v>P:P&amp;I</v>
      </c>
      <c r="D658" s="3">
        <f>D657+1</f>
        <v>831</v>
      </c>
      <c r="E658" s="3" t="str">
        <f>CONCAT("Q","/",LEFT(Table2[[#This Row],[Quotation Type]],1),"/", LEFT(Table2[[#This Row],[Branch]],1),"/", RIGHT(YEAR(TODAY()),2), "/",Table2[[#This Row],[Seq. Number]])</f>
        <v>Q/N/P/26/831</v>
      </c>
      <c r="G658" s="3" t="str">
        <v>Princess Joulia</v>
      </c>
      <c r="I658" s="3" t="str">
        <v>Container</v>
      </c>
      <c r="J658" s="3" t="str">
        <v>Direct</v>
      </c>
    </row>
    <row r="659">
      <c r="A659" s="3">
        <v>45533</v>
      </c>
      <c r="B659" s="3" t="str">
        <v>N:New Quotation</v>
      </c>
      <c r="C659" s="3" t="str">
        <v>H:Hull</v>
      </c>
      <c r="D659" s="3">
        <f>D658+1</f>
        <v>832</v>
      </c>
      <c r="E659" s="3" t="str">
        <f>CONCAT("Q","/",LEFT(Table2[[#This Row],[Quotation Type]],1),"/", LEFT(Table2[[#This Row],[Branch]],1),"/", RIGHT(YEAR(TODAY()),2), "/",Table2[[#This Row],[Seq. Number]])</f>
        <v>Q/N/H/26/832</v>
      </c>
      <c r="G659" s="3" t="str">
        <v>Madad-1</v>
      </c>
      <c r="I659" s="3" t="str">
        <v>Barge</v>
      </c>
      <c r="J659" s="3" t="str">
        <v>IPIC</v>
      </c>
    </row>
    <row r="660">
      <c r="A660" s="3">
        <v>45533</v>
      </c>
      <c r="B660" s="3" t="str">
        <v>N:New Quotation</v>
      </c>
      <c r="C660" s="3" t="str">
        <v>H:Hull</v>
      </c>
      <c r="D660" s="3">
        <f>D659+1</f>
        <v>833</v>
      </c>
      <c r="E660" s="3" t="str">
        <f>CONCAT("Q","/",LEFT(Table2[[#This Row],[Quotation Type]],1),"/", LEFT(Table2[[#This Row],[Branch]],1),"/", RIGHT(YEAR(TODAY()),2), "/",Table2[[#This Row],[Seq. Number]])</f>
        <v>Q/N/H/26/833</v>
      </c>
      <c r="G660" s="3" t="str">
        <v>Madad-4</v>
      </c>
      <c r="I660" s="3" t="str">
        <v>Tug</v>
      </c>
      <c r="J660" s="3" t="str">
        <v>IPIC</v>
      </c>
    </row>
    <row r="661">
      <c r="A661" s="3">
        <v>45533</v>
      </c>
      <c r="B661" s="3" t="str">
        <v>N:New Quotation</v>
      </c>
      <c r="C661" s="3" t="str">
        <v>H:Hull</v>
      </c>
      <c r="D661" s="3">
        <f>D660+1</f>
        <v>834</v>
      </c>
      <c r="E661" s="3" t="str">
        <f>CONCAT("Q","/",LEFT(Table2[[#This Row],[Quotation Type]],1),"/", LEFT(Table2[[#This Row],[Branch]],1),"/", RIGHT(YEAR(TODAY()),2), "/",Table2[[#This Row],[Seq. Number]])</f>
        <v>Q/N/H/26/834</v>
      </c>
      <c r="G661" s="3" t="str">
        <v>Tu Tai</v>
      </c>
      <c r="I661" s="3" t="str">
        <v>O/T</v>
      </c>
      <c r="J661" s="3" t="str">
        <v>Orion</v>
      </c>
    </row>
    <row r="662">
      <c r="A662" s="3">
        <v>45533</v>
      </c>
      <c r="B662" s="3" t="str">
        <v>N:New Quotation</v>
      </c>
      <c r="C662" s="3" t="str">
        <v>W:War</v>
      </c>
      <c r="D662" s="3">
        <f>D661+1</f>
        <v>835</v>
      </c>
      <c r="E662" s="3" t="str">
        <f>CONCAT("Q","/",LEFT(Table2[[#This Row],[Quotation Type]],1),"/", LEFT(Table2[[#This Row],[Branch]],1),"/", RIGHT(YEAR(TODAY()),2), "/",Table2[[#This Row],[Seq. Number]])</f>
        <v>Q/N/W/26/835</v>
      </c>
      <c r="G662" s="3" t="str">
        <v>Tu Tai</v>
      </c>
      <c r="I662" s="3" t="str">
        <v>O/T</v>
      </c>
      <c r="J662" s="3" t="str">
        <v>Orion</v>
      </c>
    </row>
    <row r="663">
      <c r="A663" s="3">
        <v>45534</v>
      </c>
      <c r="B663" s="3" t="str">
        <v>N:New Quotation</v>
      </c>
      <c r="C663" s="3" t="str">
        <v>P:P&amp;I</v>
      </c>
      <c r="D663" s="3">
        <f>D662+1</f>
        <v>836</v>
      </c>
      <c r="E663" s="3" t="str">
        <f>CONCAT("Q","/",LEFT(Table2[[#This Row],[Quotation Type]],1),"/", LEFT(Table2[[#This Row],[Branch]],1),"/", RIGHT(YEAR(TODAY()),2), "/",Table2[[#This Row],[Seq. Number]])</f>
        <v>Q/N/P/26/836</v>
      </c>
      <c r="F663" s="3" t="str">
        <v>Blue Bay</v>
      </c>
      <c r="I663" s="3" t="str">
        <v>GC</v>
      </c>
      <c r="J663" s="3" t="str">
        <v>Ferrari</v>
      </c>
    </row>
    <row r="664">
      <c r="A664" s="3">
        <v>45537</v>
      </c>
      <c r="B664" s="3" t="str">
        <v>R:Renewal</v>
      </c>
      <c r="C664" s="3" t="str">
        <v>H:Hull</v>
      </c>
      <c r="D664" s="3">
        <f>D663+1</f>
        <v>837</v>
      </c>
      <c r="E664" s="3" t="str">
        <f>CONCAT("Q","/",LEFT(Table2[[#This Row],[Quotation Type]],1),"/", LEFT(Table2[[#This Row],[Branch]],1),"/", RIGHT(YEAR(TODAY()),2), "/",Table2[[#This Row],[Seq. Number]])</f>
        <v>Q/R/H/26/837</v>
      </c>
      <c r="G664" s="3" t="str">
        <v>Balkis</v>
      </c>
      <c r="I664" s="3" t="str">
        <v>GC</v>
      </c>
      <c r="J664" s="3" t="str">
        <v>Mesco</v>
      </c>
    </row>
    <row r="665">
      <c r="A665" s="3">
        <v>45537</v>
      </c>
      <c r="B665" s="3" t="str">
        <v>R:Renewal</v>
      </c>
      <c r="C665" s="3" t="str">
        <v>P:P&amp;I</v>
      </c>
      <c r="D665" s="3">
        <f>D664+1</f>
        <v>838</v>
      </c>
      <c r="E665" s="3" t="str">
        <f>CONCAT("Q","/",LEFT(Table2[[#This Row],[Quotation Type]],1),"/", LEFT(Table2[[#This Row],[Branch]],1),"/", RIGHT(YEAR(TODAY()),2), "/",Table2[[#This Row],[Seq. Number]])</f>
        <v>Q/R/P/26/838</v>
      </c>
      <c r="G665" s="3" t="str">
        <v>Spiridon II</v>
      </c>
      <c r="I665" s="3" t="str">
        <v>MLV</v>
      </c>
      <c r="J665" s="3" t="str">
        <v>Direct</v>
      </c>
    </row>
    <row r="666">
      <c r="A666" s="3">
        <v>45537</v>
      </c>
      <c r="B666" s="3" t="str">
        <v>N:New Quotation</v>
      </c>
      <c r="C666" s="3" t="str">
        <v>P:P&amp;I</v>
      </c>
      <c r="D666" s="3">
        <f>D665+1</f>
        <v>839</v>
      </c>
      <c r="E666" s="3" t="str">
        <f>CONCAT("Q","/",LEFT(Table2[[#This Row],[Quotation Type]],1),"/", LEFT(Table2[[#This Row],[Branch]],1),"/", RIGHT(YEAR(TODAY()),2), "/",Table2[[#This Row],[Seq. Number]])</f>
        <v>Q/N/P/26/839</v>
      </c>
      <c r="G666" s="3" t="str">
        <v>Skystar</v>
      </c>
      <c r="I666" s="3" t="str">
        <v>GC</v>
      </c>
      <c r="J666" s="3" t="str">
        <v>Kuzey</v>
      </c>
    </row>
    <row r="667">
      <c r="A667" s="3">
        <v>45538</v>
      </c>
      <c r="B667" s="3" t="str">
        <v>R:Renewal</v>
      </c>
      <c r="C667" s="3" t="str">
        <v>H:Hull</v>
      </c>
      <c r="D667" s="3">
        <f>D666+1</f>
        <v>840</v>
      </c>
      <c r="E667" s="3" t="str">
        <f>CONCAT("Q","/",LEFT(Table2[[#This Row],[Quotation Type]],1),"/", LEFT(Table2[[#This Row],[Branch]],1),"/", RIGHT(YEAR(TODAY()),2), "/",Table2[[#This Row],[Seq. Number]])</f>
        <v>Q/R/H/26/840</v>
      </c>
      <c r="G667" s="3" t="str">
        <v>Alrahmani S</v>
      </c>
      <c r="I667" s="3" t="str">
        <v>GC</v>
      </c>
      <c r="J667" s="3" t="str">
        <v>Brandenburg</v>
      </c>
    </row>
    <row r="668">
      <c r="A668" s="3">
        <v>45539</v>
      </c>
      <c r="B668" s="3" t="str">
        <v>R:Renewal</v>
      </c>
      <c r="C668" s="3" t="str">
        <v>P:P&amp;I</v>
      </c>
      <c r="D668" s="3">
        <f>D667+1</f>
        <v>841</v>
      </c>
      <c r="E668" s="3" t="str">
        <f>CONCAT("Q","/",LEFT(Table2[[#This Row],[Quotation Type]],1),"/", LEFT(Table2[[#This Row],[Branch]],1),"/", RIGHT(YEAR(TODAY()),2), "/",Table2[[#This Row],[Seq. Number]])</f>
        <v>Q/R/P/26/841</v>
      </c>
      <c r="G668" s="3" t="str">
        <v>Rayes</v>
      </c>
      <c r="I668" s="3" t="str">
        <v>GC</v>
      </c>
      <c r="J668" s="3" t="str">
        <v>Direct</v>
      </c>
    </row>
    <row r="669">
      <c r="A669" s="3">
        <v>45539</v>
      </c>
      <c r="B669" s="3" t="str">
        <v>R:Renewal</v>
      </c>
      <c r="C669" s="3" t="str">
        <v>H:Hull</v>
      </c>
      <c r="D669" s="3">
        <f>D668+1</f>
        <v>842</v>
      </c>
      <c r="E669" s="3" t="str">
        <f>CONCAT("Q","/",LEFT(Table2[[#This Row],[Quotation Type]],1),"/", LEFT(Table2[[#This Row],[Branch]],1),"/", RIGHT(YEAR(TODAY()),2), "/",Table2[[#This Row],[Seq. Number]])</f>
        <v>Q/R/H/26/842</v>
      </c>
      <c r="G669" s="3" t="str">
        <v>Rami M</v>
      </c>
      <c r="I669" s="3" t="str">
        <v>MLV</v>
      </c>
      <c r="J669" s="3" t="str">
        <v>Direct</v>
      </c>
    </row>
    <row r="670">
      <c r="A670" s="3">
        <v>45539</v>
      </c>
      <c r="B670" s="3" t="str">
        <v>R:Renewal</v>
      </c>
      <c r="C670" s="3" t="str">
        <v>P:P&amp;I</v>
      </c>
      <c r="D670" s="3">
        <f>D669+1</f>
        <v>843</v>
      </c>
      <c r="E670" s="3" t="str">
        <f>CONCAT("Q","/",LEFT(Table2[[#This Row],[Quotation Type]],1),"/", LEFT(Table2[[#This Row],[Branch]],1),"/", RIGHT(YEAR(TODAY()),2), "/",Table2[[#This Row],[Seq. Number]])</f>
        <v>Q/R/P/26/843</v>
      </c>
      <c r="G670" s="3" t="str">
        <v>Rami M</v>
      </c>
      <c r="I670" s="3" t="str">
        <v>MLV</v>
      </c>
      <c r="J670" s="3" t="str">
        <v>Direct</v>
      </c>
    </row>
    <row r="671">
      <c r="A671" s="3">
        <v>45539</v>
      </c>
      <c r="B671" s="3" t="str">
        <v>N:New Quotation</v>
      </c>
      <c r="C671" s="3" t="str">
        <v>H:Hull</v>
      </c>
      <c r="D671" s="3">
        <f>D670+1</f>
        <v>844</v>
      </c>
      <c r="E671" s="3" t="str">
        <f>CONCAT("Q","/",LEFT(Table2[[#This Row],[Quotation Type]],1),"/", LEFT(Table2[[#This Row],[Branch]],1),"/", RIGHT(YEAR(TODAY()),2), "/",Table2[[#This Row],[Seq. Number]])</f>
        <v>Q/N/H/26/844</v>
      </c>
      <c r="F671" s="3" t="str">
        <v>Nook Trading</v>
      </c>
      <c r="I671" s="3" t="str">
        <v>Ro-Ro</v>
      </c>
      <c r="J671" s="3" t="str">
        <v>IPIC</v>
      </c>
    </row>
    <row r="672">
      <c r="A672" s="3">
        <v>45553</v>
      </c>
      <c r="B672" s="3" t="str">
        <v>N:New Quotation</v>
      </c>
      <c r="C672" s="3" t="str">
        <v>H:Hull</v>
      </c>
      <c r="D672" s="3">
        <f>D671+1</f>
        <v>845</v>
      </c>
      <c r="E672" s="3" t="str">
        <f>CONCAT("Q","/",LEFT(Table2[[#This Row],[Quotation Type]],1),"/", LEFT(Table2[[#This Row],[Branch]],1),"/", RIGHT(YEAR(TODAY()),2), "/",Table2[[#This Row],[Seq. Number]])</f>
        <v>Q/N/H/26/845</v>
      </c>
      <c r="G672" s="3" t="str">
        <v>GF Anwar</v>
      </c>
      <c r="I672" s="3" t="str">
        <v>BC</v>
      </c>
      <c r="J672" s="3" t="str">
        <v>SSS</v>
      </c>
    </row>
    <row r="673">
      <c r="A673" s="3">
        <v>45553</v>
      </c>
      <c r="B673" s="3" t="str">
        <v>A:Addition</v>
      </c>
      <c r="C673" s="3" t="str">
        <v>H:Hull</v>
      </c>
      <c r="D673" s="3">
        <f>D672+1</f>
        <v>846</v>
      </c>
      <c r="E673" s="3" t="str">
        <f>CONCAT("Q","/",LEFT(Table2[[#This Row],[Quotation Type]],1),"/", LEFT(Table2[[#This Row],[Branch]],1),"/", RIGHT(YEAR(TODAY()),2), "/",Table2[[#This Row],[Seq. Number]])</f>
        <v>Q/A/H/26/846</v>
      </c>
      <c r="G673" s="3" t="str">
        <v>Cape Scott</v>
      </c>
      <c r="I673" s="3" t="str">
        <v>BC</v>
      </c>
      <c r="J673" s="3" t="str">
        <v>Sarnia</v>
      </c>
    </row>
    <row r="674">
      <c r="A674" s="3">
        <v>45554</v>
      </c>
      <c r="B674" s="3" t="str">
        <v>A:Addition</v>
      </c>
      <c r="C674" s="3" t="str">
        <v>W:War</v>
      </c>
      <c r="D674" s="3">
        <f>D673+1</f>
        <v>847</v>
      </c>
      <c r="E674" s="3" t="str">
        <f>CONCAT("Q","/",LEFT(Table2[[#This Row],[Quotation Type]],1),"/", LEFT(Table2[[#This Row],[Branch]],1),"/", RIGHT(YEAR(TODAY()),2), "/",Table2[[#This Row],[Seq. Number]])</f>
        <v>Q/A/W/26/847</v>
      </c>
      <c r="G674" s="3" t="str">
        <v>Cape Scott</v>
      </c>
      <c r="I674" s="3" t="str">
        <v>BC</v>
      </c>
      <c r="J674" s="3" t="str">
        <v>Sarnia</v>
      </c>
    </row>
    <row r="675">
      <c r="A675" s="3">
        <v>45555</v>
      </c>
      <c r="B675" s="3" t="str">
        <v>R:Renewal</v>
      </c>
      <c r="C675" s="3" t="str">
        <v>P:P&amp;I</v>
      </c>
      <c r="D675" s="3">
        <f>D674+1</f>
        <v>848</v>
      </c>
      <c r="E675" s="3" t="str">
        <f>CONCAT("Q","/",LEFT(Table2[[#This Row],[Quotation Type]],1),"/", LEFT(Table2[[#This Row],[Branch]],1),"/", RIGHT(YEAR(TODAY()),2), "/",Table2[[#This Row],[Seq. Number]])</f>
        <v>Q/R/P/26/848</v>
      </c>
      <c r="G675" s="3" t="str">
        <v>Yosor</v>
      </c>
      <c r="I675" s="3" t="str">
        <v>MLV</v>
      </c>
      <c r="J675" s="3" t="str">
        <v>Direct</v>
      </c>
    </row>
    <row r="676">
      <c r="A676" s="3">
        <v>45558</v>
      </c>
      <c r="B676" s="3" t="str">
        <v>N:New Quotation</v>
      </c>
      <c r="C676" s="3" t="str">
        <v>P:P&amp;I</v>
      </c>
      <c r="D676" s="3">
        <f>D675+1</f>
        <v>849</v>
      </c>
      <c r="E676" s="3" t="str">
        <f>CONCAT("Q","/",LEFT(Table2[[#This Row],[Quotation Type]],1),"/", LEFT(Table2[[#This Row],[Branch]],1),"/", RIGHT(YEAR(TODAY()),2), "/",Table2[[#This Row],[Seq. Number]])</f>
        <v>Q/N/P/26/849</v>
      </c>
      <c r="G676" s="3" t="str">
        <v>GF Anwar</v>
      </c>
      <c r="I676" s="3" t="str">
        <v>BC</v>
      </c>
      <c r="J676" s="3" t="str">
        <v>SSS</v>
      </c>
    </row>
    <row r="677">
      <c r="A677" s="3">
        <v>45560</v>
      </c>
      <c r="B677" s="3" t="str">
        <v>R:Renewal</v>
      </c>
      <c r="C677" s="3" t="str">
        <v>H:Hull</v>
      </c>
      <c r="D677" s="3">
        <f>D676+1</f>
        <v>850</v>
      </c>
      <c r="E677" s="3" t="str">
        <f>CONCAT("Q","/",LEFT(Table2[[#This Row],[Quotation Type]],1),"/", LEFT(Table2[[#This Row],[Branch]],1),"/", RIGHT(YEAR(TODAY()),2), "/",Table2[[#This Row],[Seq. Number]])</f>
        <v>Q/R/H/26/850</v>
      </c>
      <c r="F677" s="3" t="str">
        <v>Namma</v>
      </c>
      <c r="I677" s="3" t="str">
        <v>Ro-Ro</v>
      </c>
      <c r="J677" s="3" t="str">
        <v>Mesco</v>
      </c>
    </row>
    <row r="678">
      <c r="A678" s="3">
        <v>45560</v>
      </c>
      <c r="B678" s="3" t="str">
        <v>A:Addition</v>
      </c>
      <c r="C678" s="3" t="str">
        <v>H:Hull</v>
      </c>
      <c r="D678" s="3">
        <f>D677+1</f>
        <v>851</v>
      </c>
      <c r="E678" s="3" t="str">
        <f>CONCAT("Q","/",LEFT(Table2[[#This Row],[Quotation Type]],1),"/", LEFT(Table2[[#This Row],[Branch]],1),"/", RIGHT(YEAR(TODAY()),2), "/",Table2[[#This Row],[Seq. Number]])</f>
        <v>Q/A/H/26/851</v>
      </c>
      <c r="G678" s="3" t="str">
        <v>Suvari Bey</v>
      </c>
      <c r="I678" s="3" t="str">
        <v>BC</v>
      </c>
      <c r="J678" s="3" t="str">
        <v>Brandenburg</v>
      </c>
    </row>
    <row r="679">
      <c r="A679" s="3">
        <v>45560</v>
      </c>
      <c r="B679" s="3" t="str">
        <v>A:Addition</v>
      </c>
      <c r="C679" s="3" t="str">
        <v>W:War</v>
      </c>
      <c r="D679" s="3">
        <f>D678+1</f>
        <v>852</v>
      </c>
      <c r="E679" s="3" t="str">
        <f>CONCAT("Q","/",LEFT(Table2[[#This Row],[Quotation Type]],1),"/", LEFT(Table2[[#This Row],[Branch]],1),"/", RIGHT(YEAR(TODAY()),2), "/",Table2[[#This Row],[Seq. Number]])</f>
        <v>Q/A/W/26/852</v>
      </c>
      <c r="G679" s="3" t="str">
        <v>Suvari Bey</v>
      </c>
      <c r="I679" s="3" t="str">
        <v>BC</v>
      </c>
      <c r="J679" s="3" t="str">
        <v>Brandenburg</v>
      </c>
    </row>
    <row r="680">
      <c r="A680" s="3">
        <v>45565</v>
      </c>
      <c r="B680" s="3" t="str">
        <v>R:Renewal</v>
      </c>
      <c r="C680" s="3" t="str">
        <v>H:Hull</v>
      </c>
      <c r="D680" s="3">
        <f>D679+1</f>
        <v>853</v>
      </c>
      <c r="E680" s="3" t="str">
        <f>CONCAT("Q","/",LEFT(Table2[[#This Row],[Quotation Type]],1),"/", LEFT(Table2[[#This Row],[Branch]],1),"/", RIGHT(YEAR(TODAY()),2), "/",Table2[[#This Row],[Seq. Number]])</f>
        <v>Q/R/H/26/853</v>
      </c>
      <c r="F680" s="3" t="str">
        <v>Euro West Shipping</v>
      </c>
      <c r="I680" s="3" t="str">
        <v>BC</v>
      </c>
      <c r="J680" s="3" t="str">
        <v>Sarnia</v>
      </c>
    </row>
    <row r="681">
      <c r="A681" s="3">
        <v>45565</v>
      </c>
      <c r="B681" s="3" t="str">
        <v>R:Renewal</v>
      </c>
      <c r="C681" s="3" t="str">
        <v>W:War</v>
      </c>
      <c r="D681" s="3">
        <f>D680+1</f>
        <v>854</v>
      </c>
      <c r="E681" s="3" t="str">
        <f>CONCAT("Q","/",LEFT(Table2[[#This Row],[Quotation Type]],1),"/", LEFT(Table2[[#This Row],[Branch]],1),"/", RIGHT(YEAR(TODAY()),2), "/",Table2[[#This Row],[Seq. Number]])</f>
        <v>Q/R/W/26/854</v>
      </c>
      <c r="F681" s="3" t="str">
        <v>Euro West Shipping</v>
      </c>
      <c r="I681" s="3" t="str">
        <v>BC</v>
      </c>
      <c r="J681" s="3" t="str">
        <v>Sarnia</v>
      </c>
    </row>
    <row r="682">
      <c r="A682" s="3">
        <v>45565</v>
      </c>
      <c r="B682" s="3" t="str">
        <v>R:Renewal</v>
      </c>
      <c r="C682" s="3" t="str">
        <v>Y:Yacht</v>
      </c>
      <c r="D682" s="3">
        <f>D681+1</f>
        <v>855</v>
      </c>
      <c r="E682" s="3" t="str">
        <f>CONCAT("Q","/",LEFT(Table2[[#This Row],[Quotation Type]],1),"/", LEFT(Table2[[#This Row],[Branch]],1),"/", RIGHT(YEAR(TODAY()),2), "/",Table2[[#This Row],[Seq. Number]])</f>
        <v>Q/R/Y/26/855</v>
      </c>
      <c r="G682" s="3" t="str">
        <v>Ceni</v>
      </c>
      <c r="I682" s="3" t="str">
        <v>Yacht</v>
      </c>
      <c r="J682" s="3" t="str">
        <v>Mesco</v>
      </c>
    </row>
    <row r="683">
      <c r="A683" s="3">
        <v>45565</v>
      </c>
      <c r="B683" s="3" t="str">
        <v>R:Renewal</v>
      </c>
      <c r="C683" s="3" t="str">
        <v>P:P&amp;I</v>
      </c>
      <c r="D683" s="3">
        <f>D682+1</f>
        <v>856</v>
      </c>
      <c r="E683" s="3" t="str">
        <f>CONCAT("Q","/",LEFT(Table2[[#This Row],[Quotation Type]],1),"/", LEFT(Table2[[#This Row],[Branch]],1),"/", RIGHT(YEAR(TODAY()),2), "/",Table2[[#This Row],[Seq. Number]])</f>
        <v>Q/R/P/26/856</v>
      </c>
      <c r="G683" s="3" t="str">
        <v>Ceni</v>
      </c>
      <c r="I683" s="3" t="str">
        <v>Yacht</v>
      </c>
      <c r="J683" s="3" t="str">
        <v>Mesco</v>
      </c>
    </row>
    <row r="684">
      <c r="A684" s="3">
        <v>45565</v>
      </c>
      <c r="B684" s="3" t="str">
        <v>R:Renewal</v>
      </c>
      <c r="C684" s="3" t="str">
        <v>H:Hull</v>
      </c>
      <c r="D684" s="3">
        <f>D683+1</f>
        <v>857</v>
      </c>
      <c r="E684" s="3" t="str">
        <f>CONCAT("Q","/",LEFT(Table2[[#This Row],[Quotation Type]],1),"/", LEFT(Table2[[#This Row],[Branch]],1),"/", RIGHT(YEAR(TODAY()),2), "/",Table2[[#This Row],[Seq. Number]])</f>
        <v>Q/R/H/26/857</v>
      </c>
      <c r="G684" s="3" t="str">
        <v>White Whale</v>
      </c>
      <c r="I684" s="3" t="str">
        <v>O/T</v>
      </c>
      <c r="J684" s="3" t="str">
        <v>SSS</v>
      </c>
    </row>
    <row r="685">
      <c r="A685" s="3">
        <v>45565</v>
      </c>
      <c r="B685" s="3" t="str">
        <v>R:Renewal</v>
      </c>
      <c r="C685" s="3" t="str">
        <v>W:War</v>
      </c>
      <c r="D685" s="3">
        <f>D684+1</f>
        <v>858</v>
      </c>
      <c r="E685" s="3" t="str">
        <f>CONCAT("Q","/",LEFT(Table2[[#This Row],[Quotation Type]],1),"/", LEFT(Table2[[#This Row],[Branch]],1),"/", RIGHT(YEAR(TODAY()),2), "/",Table2[[#This Row],[Seq. Number]])</f>
        <v>Q/R/W/26/858</v>
      </c>
      <c r="G685" s="3" t="str">
        <v>White Whale</v>
      </c>
      <c r="I685" s="3" t="str">
        <v>O/T</v>
      </c>
      <c r="J685" s="3" t="str">
        <v>SSS</v>
      </c>
    </row>
    <row r="686">
      <c r="A686" s="3">
        <v>45565</v>
      </c>
      <c r="B686" s="3" t="str">
        <v>R:Renewal</v>
      </c>
      <c r="C686" s="3" t="str">
        <v>H:Hull</v>
      </c>
      <c r="D686" s="3">
        <f>D685+1</f>
        <v>859</v>
      </c>
      <c r="E686" s="3" t="str">
        <f>CONCAT("Q","/",LEFT(Table2[[#This Row],[Quotation Type]],1),"/", LEFT(Table2[[#This Row],[Branch]],1),"/", RIGHT(YEAR(TODAY()),2), "/",Table2[[#This Row],[Seq. Number]])</f>
        <v>Q/R/H/26/859</v>
      </c>
      <c r="G686" s="3" t="str">
        <v>Express M</v>
      </c>
      <c r="I686" s="3" t="str">
        <v>MLV</v>
      </c>
      <c r="J686" s="3" t="str">
        <v>Direct</v>
      </c>
    </row>
    <row r="687">
      <c r="A687" s="3">
        <v>45565</v>
      </c>
      <c r="B687" s="3" t="str">
        <v>R:Renewal</v>
      </c>
      <c r="C687" s="3" t="str">
        <v>P:P&amp;I</v>
      </c>
      <c r="D687" s="3">
        <f>D686+1</f>
        <v>860</v>
      </c>
      <c r="E687" s="3" t="str">
        <f>CONCAT("Q","/",LEFT(Table2[[#This Row],[Quotation Type]],1),"/", LEFT(Table2[[#This Row],[Branch]],1),"/", RIGHT(YEAR(TODAY()),2), "/",Table2[[#This Row],[Seq. Number]])</f>
        <v>Q/R/P/26/860</v>
      </c>
      <c r="G687" s="3" t="str">
        <v>Express M</v>
      </c>
      <c r="I687" s="3" t="str">
        <v>MLV</v>
      </c>
      <c r="J687" s="3" t="str">
        <v>Direct</v>
      </c>
    </row>
    <row r="688">
      <c r="A688" s="3">
        <v>45565</v>
      </c>
      <c r="B688" s="3" t="str">
        <v>N:New Quotation</v>
      </c>
      <c r="C688" s="3" t="str">
        <v>H:Hull</v>
      </c>
      <c r="D688" s="3">
        <f>D687+1</f>
        <v>861</v>
      </c>
      <c r="E688" s="3" t="str">
        <f>CONCAT("Q","/",LEFT(Table2[[#This Row],[Quotation Type]],1),"/", LEFT(Table2[[#This Row],[Branch]],1),"/", RIGHT(YEAR(TODAY()),2), "/",Table2[[#This Row],[Seq. Number]])</f>
        <v>Q/N/H/26/861</v>
      </c>
      <c r="G688" s="3" t="str">
        <v>Sanvi</v>
      </c>
      <c r="I688" s="3" t="str">
        <v>O/T</v>
      </c>
      <c r="J688" s="3" t="str">
        <v>City</v>
      </c>
    </row>
    <row r="689">
      <c r="A689" s="3">
        <v>45565</v>
      </c>
      <c r="B689" s="3" t="str">
        <v>R:Renewal</v>
      </c>
      <c r="C689" s="3" t="str">
        <v>H:Hull</v>
      </c>
      <c r="D689" s="3">
        <f>D688+1</f>
        <v>862</v>
      </c>
      <c r="E689" s="3" t="str">
        <f>CONCAT("Q","/",LEFT(Table2[[#This Row],[Quotation Type]],1),"/", LEFT(Table2[[#This Row],[Branch]],1),"/", RIGHT(YEAR(TODAY()),2), "/",Table2[[#This Row],[Seq. Number]])</f>
        <v>Q/R/H/26/862</v>
      </c>
      <c r="G689" s="3" t="str">
        <v>Dragon</v>
      </c>
      <c r="I689" s="3" t="str">
        <v>MLV</v>
      </c>
      <c r="J689" s="3" t="str">
        <v>Direct</v>
      </c>
    </row>
    <row r="690">
      <c r="A690" s="3">
        <v>45565</v>
      </c>
      <c r="B690" s="3" t="str">
        <v>R:Renewal</v>
      </c>
      <c r="C690" s="3" t="str">
        <v>P:P&amp;I</v>
      </c>
      <c r="D690" s="3">
        <f>D689+1</f>
        <v>863</v>
      </c>
      <c r="E690" s="3" t="str">
        <f>CONCAT("Q","/",LEFT(Table2[[#This Row],[Quotation Type]],1),"/", LEFT(Table2[[#This Row],[Branch]],1),"/", RIGHT(YEAR(TODAY()),2), "/",Table2[[#This Row],[Seq. Number]])</f>
        <v>Q/R/P/26/863</v>
      </c>
      <c r="G690" s="3" t="str">
        <v>Dragon</v>
      </c>
      <c r="I690" s="3" t="str">
        <v>MLV</v>
      </c>
      <c r="J690" s="3" t="str">
        <v>Direct</v>
      </c>
    </row>
    <row r="691">
      <c r="A691" s="3">
        <v>45565</v>
      </c>
      <c r="B691" s="3" t="str">
        <v>R:Renewal</v>
      </c>
      <c r="C691" s="3" t="str">
        <v>W:War</v>
      </c>
      <c r="D691" s="3">
        <f>D690+1</f>
        <v>864</v>
      </c>
      <c r="E691" s="3" t="str">
        <f>CONCAT("Q","/",LEFT(Table2[[#This Row],[Quotation Type]],1),"/", LEFT(Table2[[#This Row],[Branch]],1),"/", RIGHT(YEAR(TODAY()),2), "/",Table2[[#This Row],[Seq. Number]])</f>
        <v>Q/R/W/26/864</v>
      </c>
      <c r="G691" s="3" t="str">
        <v>Dragon</v>
      </c>
      <c r="I691" s="3" t="str">
        <v>MLV</v>
      </c>
      <c r="J691" s="3" t="str">
        <v>Direct</v>
      </c>
    </row>
    <row r="692">
      <c r="A692" s="3">
        <v>45565</v>
      </c>
      <c r="B692" s="3" t="str">
        <v>R:Renewal</v>
      </c>
      <c r="C692" s="3" t="str">
        <v>H:Hull</v>
      </c>
      <c r="D692" s="3">
        <f>D691+1</f>
        <v>865</v>
      </c>
      <c r="E692" s="3" t="str">
        <f>CONCAT("Q","/",LEFT(Table2[[#This Row],[Quotation Type]],1),"/", LEFT(Table2[[#This Row],[Branch]],1),"/", RIGHT(YEAR(TODAY()),2), "/",Table2[[#This Row],[Seq. Number]])</f>
        <v>Q/R/H/26/865</v>
      </c>
      <c r="G692" s="3" t="str">
        <v>Bella A</v>
      </c>
      <c r="I692" s="3" t="str">
        <v>GC</v>
      </c>
      <c r="J692" s="3" t="str">
        <v>Direct</v>
      </c>
    </row>
    <row r="693">
      <c r="A693" s="3">
        <v>45565</v>
      </c>
      <c r="B693" s="3" t="str">
        <v>R:Renewal</v>
      </c>
      <c r="C693" s="3" t="str">
        <v>P:P&amp;I</v>
      </c>
      <c r="D693" s="3">
        <f>D692+1</f>
        <v>866</v>
      </c>
      <c r="E693" s="3" t="str">
        <f>CONCAT("Q","/",LEFT(Table2[[#This Row],[Quotation Type]],1),"/", LEFT(Table2[[#This Row],[Branch]],1),"/", RIGHT(YEAR(TODAY()),2), "/",Table2[[#This Row],[Seq. Number]])</f>
        <v>Q/R/P/26/866</v>
      </c>
      <c r="G693" s="3" t="str">
        <v>Bella A</v>
      </c>
      <c r="I693" s="3" t="str">
        <v>GC</v>
      </c>
      <c r="J693" s="3" t="str">
        <v>Direct</v>
      </c>
    </row>
    <row r="694">
      <c r="A694" s="3">
        <v>45565</v>
      </c>
      <c r="B694" s="3" t="str">
        <v>R:Renewal</v>
      </c>
      <c r="C694" s="3" t="str">
        <v>P:P&amp;I</v>
      </c>
      <c r="D694" s="3">
        <f>D693+1</f>
        <v>867</v>
      </c>
      <c r="E694" s="3" t="str">
        <f>CONCAT("Q","/",LEFT(Table2[[#This Row],[Quotation Type]],1),"/", LEFT(Table2[[#This Row],[Branch]],1),"/", RIGHT(YEAR(TODAY()),2), "/",Table2[[#This Row],[Seq. Number]])</f>
        <v>Q/R/P/26/867</v>
      </c>
      <c r="G694" s="3" t="str">
        <v>Osman 23</v>
      </c>
      <c r="I694" s="3" t="str">
        <v>Barge</v>
      </c>
      <c r="J694" s="3" t="str">
        <v>Mesco</v>
      </c>
    </row>
    <row r="695">
      <c r="A695" s="3">
        <v>45565</v>
      </c>
      <c r="B695" s="3" t="str">
        <v>R:Renewal</v>
      </c>
      <c r="C695" s="3" t="str">
        <v>H:Hull</v>
      </c>
      <c r="D695" s="3">
        <f>D694+1</f>
        <v>868</v>
      </c>
      <c r="E695" s="3" t="str">
        <f>CONCAT("Q","/",LEFT(Table2[[#This Row],[Quotation Type]],1),"/", LEFT(Table2[[#This Row],[Branch]],1),"/", RIGHT(YEAR(TODAY()),2), "/",Table2[[#This Row],[Seq. Number]])</f>
        <v>Q/R/H/26/868</v>
      </c>
      <c r="G695" s="3" t="str">
        <v>Mayar</v>
      </c>
      <c r="I695" s="3" t="str">
        <v>MLV</v>
      </c>
      <c r="J695" s="3" t="str">
        <v>Alfamarine</v>
      </c>
    </row>
    <row r="696">
      <c r="A696" s="3">
        <v>45565</v>
      </c>
      <c r="B696" s="3" t="str">
        <v>R:Renewal</v>
      </c>
      <c r="C696" s="3" t="str">
        <v>P:P&amp;I</v>
      </c>
      <c r="D696" s="3">
        <f>D695+1</f>
        <v>869</v>
      </c>
      <c r="E696" s="3" t="str">
        <f>CONCAT("Q","/",LEFT(Table2[[#This Row],[Quotation Type]],1),"/", LEFT(Table2[[#This Row],[Branch]],1),"/", RIGHT(YEAR(TODAY()),2), "/",Table2[[#This Row],[Seq. Number]])</f>
        <v>Q/R/P/26/869</v>
      </c>
      <c r="G696" s="3" t="str">
        <v>Mayar</v>
      </c>
      <c r="I696" s="3" t="str">
        <v>MLV</v>
      </c>
      <c r="J696" s="3" t="str">
        <v>Alfamarine</v>
      </c>
    </row>
    <row r="697">
      <c r="A697" s="3">
        <v>45565</v>
      </c>
      <c r="B697" s="3" t="str">
        <v>R:Renewal</v>
      </c>
      <c r="C697" s="3" t="str">
        <v>H:Hull</v>
      </c>
      <c r="D697" s="3">
        <f>D696+1</f>
        <v>870</v>
      </c>
      <c r="E697" s="3" t="str">
        <f>CONCAT("Q","/",LEFT(Table2[[#This Row],[Quotation Type]],1),"/", LEFT(Table2[[#This Row],[Branch]],1),"/", RIGHT(YEAR(TODAY()),2), "/",Table2[[#This Row],[Seq. Number]])</f>
        <v>Q/R/H/26/870</v>
      </c>
      <c r="G697" s="3" t="str">
        <v>MKK II</v>
      </c>
      <c r="I697" s="3" t="str">
        <v>BC</v>
      </c>
      <c r="J697" s="3" t="str">
        <v>Direct</v>
      </c>
    </row>
    <row r="698">
      <c r="A698" s="3">
        <v>45565</v>
      </c>
      <c r="B698" s="3" t="str">
        <v>R:Renewal</v>
      </c>
      <c r="C698" s="3" t="str">
        <v>P:P&amp;I</v>
      </c>
      <c r="D698" s="3">
        <f>D697+1</f>
        <v>871</v>
      </c>
      <c r="E698" s="3" t="str">
        <f>CONCAT("Q","/",LEFT(Table2[[#This Row],[Quotation Type]],1),"/", LEFT(Table2[[#This Row],[Branch]],1),"/", RIGHT(YEAR(TODAY()),2), "/",Table2[[#This Row],[Seq. Number]])</f>
        <v>Q/R/P/26/871</v>
      </c>
      <c r="G698" s="3" t="str">
        <v>MKK II</v>
      </c>
      <c r="I698" s="3" t="str">
        <v>BC</v>
      </c>
      <c r="J698" s="3" t="str">
        <v>Direct</v>
      </c>
    </row>
    <row r="699">
      <c r="A699" s="3">
        <v>45566</v>
      </c>
      <c r="B699" s="3" t="str">
        <v>R:Renewal</v>
      </c>
      <c r="C699" s="3" t="str">
        <v>H:Hull</v>
      </c>
      <c r="D699" s="3">
        <f>D698+1</f>
        <v>872</v>
      </c>
      <c r="E699" s="3" t="str">
        <f>CONCAT("Q","/",LEFT(Table2[[#This Row],[Quotation Type]],1),"/", LEFT(Table2[[#This Row],[Branch]],1),"/", RIGHT(YEAR(TODAY()),2), "/",Table2[[#This Row],[Seq. Number]])</f>
        <v>Q/R/H/26/872</v>
      </c>
      <c r="F699" s="3" t="str">
        <v>Elreedy Shipping</v>
      </c>
      <c r="J699" s="3" t="str">
        <v>Sarnia</v>
      </c>
    </row>
    <row r="700">
      <c r="A700" s="3">
        <v>45566</v>
      </c>
      <c r="B700" s="3" t="str">
        <v>R:Renewal</v>
      </c>
      <c r="C700" s="3" t="str">
        <v>W:War</v>
      </c>
      <c r="D700" s="3">
        <f>D699+1</f>
        <v>873</v>
      </c>
      <c r="E700" s="3" t="str">
        <f>CONCAT("Q","/",LEFT(Table2[[#This Row],[Quotation Type]],1),"/", LEFT(Table2[[#This Row],[Branch]],1),"/", RIGHT(YEAR(TODAY()),2), "/",Table2[[#This Row],[Seq. Number]])</f>
        <v>Q/R/W/26/873</v>
      </c>
      <c r="F700" s="3" t="str">
        <v>Elreedy Shipping</v>
      </c>
      <c r="J700" s="3" t="str">
        <v>Sarnia</v>
      </c>
    </row>
    <row r="701">
      <c r="A701" s="3">
        <v>45566</v>
      </c>
      <c r="B701" s="3" t="str">
        <v>R:Renewal</v>
      </c>
      <c r="C701" s="3" t="str">
        <v>H:Hull</v>
      </c>
      <c r="D701" s="3">
        <f>D700+1</f>
        <v>874</v>
      </c>
      <c r="E701" s="3" t="str">
        <f>CONCAT("Q","/",LEFT(Table2[[#This Row],[Quotation Type]],1),"/", LEFT(Table2[[#This Row],[Branch]],1),"/", RIGHT(YEAR(TODAY()),2), "/",Table2[[#This Row],[Seq. Number]])</f>
        <v>Q/R/H/26/874</v>
      </c>
      <c r="G701" s="3" t="str">
        <v>Bellavita</v>
      </c>
      <c r="I701" s="3" t="str">
        <v>BC</v>
      </c>
      <c r="J701" s="3" t="str">
        <v>City</v>
      </c>
    </row>
    <row r="702">
      <c r="A702" s="3">
        <v>45573</v>
      </c>
      <c r="B702" s="3" t="str">
        <v>N:New Quotation</v>
      </c>
      <c r="C702" s="3" t="str">
        <v>H:Hull</v>
      </c>
      <c r="D702" s="3">
        <f>D701+1</f>
        <v>875</v>
      </c>
      <c r="E702" s="3" t="str">
        <f>CONCAT("Q","/",LEFT(Table2[[#This Row],[Quotation Type]],1),"/", LEFT(Table2[[#This Row],[Branch]],1),"/", RIGHT(YEAR(TODAY()),2), "/",Table2[[#This Row],[Seq. Number]])</f>
        <v>Q/N/H/26/875</v>
      </c>
      <c r="F702" s="3" t="str">
        <v>Brook Ocean</v>
      </c>
      <c r="I702" s="3" t="str">
        <v>BC</v>
      </c>
      <c r="J702" s="3" t="str">
        <v>Mesco</v>
      </c>
    </row>
    <row r="703">
      <c r="A703" s="3">
        <v>45574</v>
      </c>
      <c r="B703" s="3" t="str">
        <v>R:Renewal</v>
      </c>
      <c r="C703" s="3" t="str">
        <v>H:Hull</v>
      </c>
      <c r="D703" s="3">
        <f>D702+1</f>
        <v>876</v>
      </c>
      <c r="E703" s="3" t="str">
        <f>CONCAT("Q","/",LEFT(Table2[[#This Row],[Quotation Type]],1),"/", LEFT(Table2[[#This Row],[Branch]],1),"/", RIGHT(YEAR(TODAY()),2), "/",Table2[[#This Row],[Seq. Number]])</f>
        <v>Q/R/H/26/876</v>
      </c>
      <c r="F703" s="3" t="str">
        <v>Suvari Shipping</v>
      </c>
      <c r="I703" s="3" t="str">
        <v>BC</v>
      </c>
      <c r="J703" s="3" t="str">
        <v>Sarnia</v>
      </c>
    </row>
    <row r="704">
      <c r="A704" s="3">
        <v>45574</v>
      </c>
      <c r="B704" s="3" t="str">
        <v>R:Renewal</v>
      </c>
      <c r="C704" s="3" t="str">
        <v>W:War</v>
      </c>
      <c r="D704" s="3">
        <f>D703+1</f>
        <v>877</v>
      </c>
      <c r="E704" s="3" t="str">
        <f>CONCAT("Q","/",LEFT(Table2[[#This Row],[Quotation Type]],1),"/", LEFT(Table2[[#This Row],[Branch]],1),"/", RIGHT(YEAR(TODAY()),2), "/",Table2[[#This Row],[Seq. Number]])</f>
        <v>Q/R/W/26/877</v>
      </c>
      <c r="F704" s="3" t="str">
        <v>Suvari Shipping</v>
      </c>
      <c r="I704" s="3" t="str">
        <v>BC</v>
      </c>
      <c r="J704" s="3" t="str">
        <v>Sarnia</v>
      </c>
    </row>
    <row r="705">
      <c r="A705" s="3">
        <v>45575</v>
      </c>
      <c r="B705" s="3" t="str">
        <v>R:Renewal</v>
      </c>
      <c r="C705" s="3" t="str">
        <v>H:Hull</v>
      </c>
      <c r="D705" s="3">
        <f>D704+1</f>
        <v>878</v>
      </c>
      <c r="E705" s="3" t="str">
        <f>CONCAT("Q","/",LEFT(Table2[[#This Row],[Quotation Type]],1),"/", LEFT(Table2[[#This Row],[Branch]],1),"/", RIGHT(YEAR(TODAY()),2), "/",Table2[[#This Row],[Seq. Number]])</f>
        <v>Q/R/H/26/878</v>
      </c>
      <c r="F705" s="3" t="str">
        <v>Osman Denizclik</v>
      </c>
      <c r="I705" s="3" t="str">
        <v>BC</v>
      </c>
      <c r="J705" s="3" t="str">
        <v>Sarnia</v>
      </c>
    </row>
    <row r="706">
      <c r="A706" s="3">
        <v>45575</v>
      </c>
      <c r="B706" s="3" t="str">
        <v>R:Renewal</v>
      </c>
      <c r="C706" s="3" t="str">
        <v>W:War</v>
      </c>
      <c r="D706" s="3">
        <f>D705+1</f>
        <v>879</v>
      </c>
      <c r="E706" s="3" t="str">
        <f>CONCAT("Q","/",LEFT(Table2[[#This Row],[Quotation Type]],1),"/", LEFT(Table2[[#This Row],[Branch]],1),"/", RIGHT(YEAR(TODAY()),2), "/",Table2[[#This Row],[Seq. Number]])</f>
        <v>Q/R/W/26/879</v>
      </c>
      <c r="F706" s="3" t="str">
        <v>Osman Denizclik</v>
      </c>
      <c r="I706" s="3" t="str">
        <v>BC</v>
      </c>
      <c r="J706" s="3" t="str">
        <v>Sarnia</v>
      </c>
    </row>
    <row r="707">
      <c r="A707" s="3">
        <v>45575</v>
      </c>
      <c r="B707" s="3" t="str">
        <v>N:New Quotation</v>
      </c>
      <c r="C707" s="3" t="str">
        <v>P:P&amp;I</v>
      </c>
      <c r="D707" s="3">
        <f>D706+1</f>
        <v>880</v>
      </c>
      <c r="E707" s="3" t="str">
        <f>CONCAT("Q","/",LEFT(Table2[[#This Row],[Quotation Type]],1),"/", LEFT(Table2[[#This Row],[Branch]],1),"/", RIGHT(YEAR(TODAY()),2), "/",Table2[[#This Row],[Seq. Number]])</f>
        <v>Q/N/P/26/880</v>
      </c>
      <c r="F707" s="3" t="str">
        <v>KM Ship Management</v>
      </c>
      <c r="I707" s="3" t="str">
        <v>Container</v>
      </c>
      <c r="J707" s="3" t="str">
        <v>Mesco</v>
      </c>
    </row>
    <row r="708">
      <c r="A708" s="3">
        <v>45575</v>
      </c>
      <c r="B708" s="3" t="str">
        <v>R:Renewal</v>
      </c>
      <c r="C708" s="3" t="str">
        <v>H:Hull</v>
      </c>
      <c r="D708" s="3">
        <f>D707+1</f>
        <v>881</v>
      </c>
      <c r="E708" s="3" t="str">
        <f>CONCAT("Q","/",LEFT(Table2[[#This Row],[Quotation Type]],1),"/", LEFT(Table2[[#This Row],[Branch]],1),"/", RIGHT(YEAR(TODAY()),2), "/",Table2[[#This Row],[Seq. Number]])</f>
        <v>Q/R/H/26/881</v>
      </c>
      <c r="F708" s="3" t="str">
        <v>Khalifeh</v>
      </c>
      <c r="I708" s="3" t="str">
        <v>MLV</v>
      </c>
      <c r="J708" s="3" t="str">
        <v>Direct</v>
      </c>
    </row>
    <row r="709">
      <c r="A709" s="3">
        <v>45575</v>
      </c>
      <c r="B709" s="3" t="str">
        <v>R:Renewal</v>
      </c>
      <c r="C709" s="3" t="str">
        <v>P:P&amp;I</v>
      </c>
      <c r="D709" s="3">
        <f>D708+1</f>
        <v>882</v>
      </c>
      <c r="E709" s="3" t="str">
        <f>CONCAT("Q","/",LEFT(Table2[[#This Row],[Quotation Type]],1),"/", LEFT(Table2[[#This Row],[Branch]],1),"/", RIGHT(YEAR(TODAY()),2), "/",Table2[[#This Row],[Seq. Number]])</f>
        <v>Q/R/P/26/882</v>
      </c>
      <c r="F709" s="3" t="str">
        <v>Khalifeh</v>
      </c>
      <c r="I709" s="3" t="str">
        <v>MLV</v>
      </c>
      <c r="J709" s="3" t="str">
        <v>Direct</v>
      </c>
    </row>
    <row r="710">
      <c r="A710" s="3">
        <v>45575</v>
      </c>
      <c r="B710" s="3" t="str">
        <v>R:Renewal</v>
      </c>
      <c r="C710" s="3" t="str">
        <v>W:War</v>
      </c>
      <c r="D710" s="3">
        <f>D709+1</f>
        <v>883</v>
      </c>
      <c r="E710" s="3" t="str">
        <f>CONCAT("Q","/",LEFT(Table2[[#This Row],[Quotation Type]],1),"/", LEFT(Table2[[#This Row],[Branch]],1),"/", RIGHT(YEAR(TODAY()),2), "/",Table2[[#This Row],[Seq. Number]])</f>
        <v>Q/R/W/26/883</v>
      </c>
      <c r="F710" s="3" t="str">
        <v>Khalifeh</v>
      </c>
      <c r="I710" s="3" t="str">
        <v>MLV</v>
      </c>
      <c r="J710" s="3" t="str">
        <v>Direct</v>
      </c>
    </row>
    <row r="711">
      <c r="A711" s="3">
        <v>45581</v>
      </c>
      <c r="B711" s="3" t="str">
        <v>R:Renewal</v>
      </c>
      <c r="C711" s="3" t="str">
        <v>H:Hull</v>
      </c>
      <c r="D711" s="3">
        <f>D710+1</f>
        <v>884</v>
      </c>
      <c r="E711" s="3" t="str">
        <f>CONCAT("Q","/",LEFT(Table2[[#This Row],[Quotation Type]],1),"/", LEFT(Table2[[#This Row],[Branch]],1),"/", RIGHT(YEAR(TODAY()),2), "/",Table2[[#This Row],[Seq. Number]])</f>
        <v>Q/R/H/26/884</v>
      </c>
      <c r="F711" s="3" t="str">
        <v>Amson Marine</v>
      </c>
      <c r="I711" s="3" t="str">
        <v>BC</v>
      </c>
      <c r="J711" s="3" t="str">
        <v>Sarnia</v>
      </c>
    </row>
    <row r="712">
      <c r="A712" s="3">
        <v>45581</v>
      </c>
      <c r="B712" s="3" t="str">
        <v>R:Renewal</v>
      </c>
      <c r="C712" s="3" t="str">
        <v>W:War</v>
      </c>
      <c r="D712" s="3">
        <f>D711+1</f>
        <v>885</v>
      </c>
      <c r="E712" s="3" t="str">
        <f>CONCAT("Q","/",LEFT(Table2[[#This Row],[Quotation Type]],1),"/", LEFT(Table2[[#This Row],[Branch]],1),"/", RIGHT(YEAR(TODAY()),2), "/",Table2[[#This Row],[Seq. Number]])</f>
        <v>Q/R/W/26/885</v>
      </c>
      <c r="F712" s="3" t="str">
        <v>Amson Marine</v>
      </c>
      <c r="I712" s="3" t="str">
        <v>BC</v>
      </c>
      <c r="J712" s="3" t="str">
        <v>Sarnia</v>
      </c>
    </row>
    <row r="713">
      <c r="A713" s="3">
        <v>45583</v>
      </c>
      <c r="B713" s="3" t="str">
        <v>R:Renewal</v>
      </c>
      <c r="C713" s="3" t="str">
        <v>H:Hull</v>
      </c>
      <c r="D713" s="3">
        <f>D712+1</f>
        <v>886</v>
      </c>
      <c r="E713" s="3" t="str">
        <f>CONCAT("Q","/",LEFT(Table2[[#This Row],[Quotation Type]],1),"/", LEFT(Table2[[#This Row],[Branch]],1),"/", RIGHT(YEAR(TODAY()),2), "/",Table2[[#This Row],[Seq. Number]])</f>
        <v>Q/R/H/26/886</v>
      </c>
      <c r="G713" s="3" t="str">
        <v>Mawashi Express</v>
      </c>
      <c r="I713" s="3" t="str">
        <v>MLV</v>
      </c>
      <c r="J713" s="3" t="str">
        <v>Direct</v>
      </c>
    </row>
    <row r="714">
      <c r="A714" s="3">
        <v>45583</v>
      </c>
      <c r="B714" s="3" t="str">
        <v>R:Renewal</v>
      </c>
      <c r="C714" s="3" t="str">
        <v>P:P&amp;I</v>
      </c>
      <c r="D714" s="3">
        <f>D713+1</f>
        <v>887</v>
      </c>
      <c r="E714" s="3" t="str">
        <f>CONCAT("Q","/",LEFT(Table2[[#This Row],[Quotation Type]],1),"/", LEFT(Table2[[#This Row],[Branch]],1),"/", RIGHT(YEAR(TODAY()),2), "/",Table2[[#This Row],[Seq. Number]])</f>
        <v>Q/R/P/26/887</v>
      </c>
      <c r="G714" s="3" t="str">
        <v>Mawashi Express</v>
      </c>
      <c r="I714" s="3" t="str">
        <v>MLV</v>
      </c>
      <c r="J714" s="3" t="str">
        <v>Direct</v>
      </c>
    </row>
    <row r="715">
      <c r="A715" s="3">
        <v>45586</v>
      </c>
      <c r="B715" s="3" t="str">
        <v>N:New Quotation</v>
      </c>
      <c r="C715" s="3" t="str">
        <v>P:P&amp;I</v>
      </c>
      <c r="D715" s="3">
        <f>D714+1</f>
        <v>888</v>
      </c>
      <c r="E715" s="3" t="str">
        <f>CONCAT("Q","/",LEFT(Table2[[#This Row],[Quotation Type]],1),"/", LEFT(Table2[[#This Row],[Branch]],1),"/", RIGHT(YEAR(TODAY()),2), "/",Table2[[#This Row],[Seq. Number]])</f>
        <v>Q/N/P/26/888</v>
      </c>
      <c r="G715" s="3" t="str">
        <v>Luciana C</v>
      </c>
      <c r="I715" s="3" t="str">
        <v>GC</v>
      </c>
      <c r="J715" s="3" t="str">
        <v>Kuzey</v>
      </c>
    </row>
    <row r="716">
      <c r="A716" s="3">
        <v>45586</v>
      </c>
      <c r="B716" s="3" t="str">
        <v>R:Renewal</v>
      </c>
      <c r="C716" s="3" t="str">
        <v>H:Hull</v>
      </c>
      <c r="D716" s="3">
        <f>D715+1</f>
        <v>889</v>
      </c>
      <c r="E716" s="3" t="str">
        <f>CONCAT("Q","/",LEFT(Table2[[#This Row],[Quotation Type]],1),"/", LEFT(Table2[[#This Row],[Branch]],1),"/", RIGHT(YEAR(TODAY()),2), "/",Table2[[#This Row],[Seq. Number]])</f>
        <v>Q/R/H/26/889</v>
      </c>
      <c r="G716" s="3" t="str">
        <v>Polaris 2</v>
      </c>
      <c r="I716" s="3" t="str">
        <v>MLV</v>
      </c>
      <c r="J716" s="3" t="str">
        <v>Direct</v>
      </c>
    </row>
    <row r="717">
      <c r="A717" s="3">
        <v>45586</v>
      </c>
      <c r="B717" s="3" t="str">
        <v>R:Renewal</v>
      </c>
      <c r="C717" s="3" t="str">
        <v>P:P&amp;I</v>
      </c>
      <c r="D717" s="3">
        <f>D716+1</f>
        <v>890</v>
      </c>
      <c r="E717" s="3" t="str">
        <f>CONCAT("Q","/",LEFT(Table2[[#This Row],[Quotation Type]],1),"/", LEFT(Table2[[#This Row],[Branch]],1),"/", RIGHT(YEAR(TODAY()),2), "/",Table2[[#This Row],[Seq. Number]])</f>
        <v>Q/R/P/26/890</v>
      </c>
      <c r="G717" s="3" t="str">
        <v>Polaris 2</v>
      </c>
      <c r="I717" s="3" t="str">
        <v>MLV</v>
      </c>
      <c r="J717" s="3" t="str">
        <v>Direct</v>
      </c>
    </row>
    <row r="718">
      <c r="A718" s="3">
        <v>45588</v>
      </c>
      <c r="B718" s="3" t="str">
        <v>A:Addition</v>
      </c>
      <c r="C718" s="3" t="str">
        <v>F:FD&amp;D</v>
      </c>
      <c r="D718" s="3">
        <f>D717+1</f>
        <v>891</v>
      </c>
      <c r="E718" s="3" t="str">
        <f>CONCAT("Q","/",LEFT(Table2[[#This Row],[Quotation Type]],1),"/", LEFT(Table2[[#This Row],[Branch]],1),"/", RIGHT(YEAR(TODAY()),2), "/",Table2[[#This Row],[Seq. Number]])</f>
        <v>Q/A/F/26/891</v>
      </c>
      <c r="F718" s="3" t="str">
        <v>Star Navigation</v>
      </c>
      <c r="I718" s="3" t="str">
        <v>GC</v>
      </c>
      <c r="J718" s="3" t="str">
        <v>Ferrari</v>
      </c>
    </row>
    <row r="719">
      <c r="A719" s="3">
        <v>45588</v>
      </c>
      <c r="B719" s="3" t="str">
        <v>N:New Quotation</v>
      </c>
      <c r="C719" s="3" t="str">
        <v>H:Hull</v>
      </c>
      <c r="D719" s="3">
        <f>D718+1</f>
        <v>892</v>
      </c>
      <c r="E719" s="3" t="str">
        <f>CONCAT("Q","/",LEFT(Table2[[#This Row],[Quotation Type]],1),"/", LEFT(Table2[[#This Row],[Branch]],1),"/", RIGHT(YEAR(TODAY()),2), "/",Table2[[#This Row],[Seq. Number]])</f>
        <v>Q/N/H/26/892</v>
      </c>
      <c r="F719" s="3" t="str">
        <v>Kased Khair</v>
      </c>
      <c r="I719" s="3" t="str">
        <v>Tug</v>
      </c>
      <c r="J719" s="3" t="str">
        <v>Ferrari</v>
      </c>
    </row>
    <row r="720">
      <c r="A720" s="3">
        <v>45588</v>
      </c>
      <c r="B720" s="3" t="str">
        <v>N:New Quotation</v>
      </c>
      <c r="C720" s="3" t="str">
        <v>P:P&amp;I</v>
      </c>
      <c r="D720" s="3">
        <f>D719+1</f>
        <v>893</v>
      </c>
      <c r="E720" s="3" t="str">
        <f>CONCAT("Q","/",LEFT(Table2[[#This Row],[Quotation Type]],1),"/", LEFT(Table2[[#This Row],[Branch]],1),"/", RIGHT(YEAR(TODAY()),2), "/",Table2[[#This Row],[Seq. Number]])</f>
        <v>Q/N/P/26/893</v>
      </c>
      <c r="F720" s="3" t="str">
        <v>Kased Khair</v>
      </c>
      <c r="I720" s="3" t="str">
        <v>Tug</v>
      </c>
      <c r="J720" s="3" t="str">
        <v>Ferrari</v>
      </c>
    </row>
    <row r="721">
      <c r="A721" s="3">
        <v>45588</v>
      </c>
      <c r="B721" s="3" t="str">
        <v>N:New Quotation</v>
      </c>
      <c r="C721" s="3" t="str">
        <v>P:P&amp;I</v>
      </c>
      <c r="D721" s="3">
        <f>D720+1</f>
        <v>894</v>
      </c>
      <c r="E721" s="3" t="str">
        <f>CONCAT("Q","/",LEFT(Table2[[#This Row],[Quotation Type]],1),"/", LEFT(Table2[[#This Row],[Branch]],1),"/", RIGHT(YEAR(TODAY()),2), "/",Table2[[#This Row],[Seq. Number]])</f>
        <v>Q/N/P/26/894</v>
      </c>
      <c r="G721" s="3" t="str">
        <v>Athenai</v>
      </c>
      <c r="I721" s="3" t="str">
        <v>GC</v>
      </c>
      <c r="J721" s="3" t="str">
        <v>Alfamarine</v>
      </c>
    </row>
    <row r="722">
      <c r="A722" s="3">
        <v>45588</v>
      </c>
      <c r="B722" s="3" t="str">
        <v>N:New Quotation</v>
      </c>
      <c r="C722" s="3" t="str">
        <v>W:War</v>
      </c>
      <c r="D722" s="3">
        <f>D721+1</f>
        <v>895</v>
      </c>
      <c r="E722" s="3" t="str">
        <f>CONCAT("Q","/",LEFT(Table2[[#This Row],[Quotation Type]],1),"/", LEFT(Table2[[#This Row],[Branch]],1),"/", RIGHT(YEAR(TODAY()),2), "/",Table2[[#This Row],[Seq. Number]])</f>
        <v>Q/N/W/26/895</v>
      </c>
      <c r="G722" s="3" t="str">
        <v>Athenai</v>
      </c>
      <c r="I722" s="3" t="str">
        <v>GC</v>
      </c>
      <c r="J722" s="3" t="str">
        <v>Alfamarine</v>
      </c>
    </row>
    <row r="723">
      <c r="A723" s="3">
        <v>45590</v>
      </c>
      <c r="B723" s="3" t="str">
        <v>N:New Quotation</v>
      </c>
      <c r="C723" s="3" t="str">
        <v>H:Hull</v>
      </c>
      <c r="D723" s="3">
        <f>D722+1</f>
        <v>896</v>
      </c>
      <c r="E723" s="3" t="str">
        <f>CONCAT("Q","/",LEFT(Table2[[#This Row],[Quotation Type]],1),"/", LEFT(Table2[[#This Row],[Branch]],1),"/", RIGHT(YEAR(TODAY()),2), "/",Table2[[#This Row],[Seq. Number]])</f>
        <v>Q/N/H/26/896</v>
      </c>
      <c r="F723" s="3" t="str">
        <v>Amazon United Group</v>
      </c>
      <c r="I723" s="3" t="str">
        <v>Ro-Ro</v>
      </c>
      <c r="J723" s="3" t="str">
        <v>Brandenburg</v>
      </c>
    </row>
    <row r="724">
      <c r="A724" s="3">
        <v>45593</v>
      </c>
      <c r="B724" s="3" t="str">
        <v>A:Addition</v>
      </c>
      <c r="C724" s="3" t="str">
        <v>H:Hull</v>
      </c>
      <c r="D724" s="3">
        <f>D723+1</f>
        <v>897</v>
      </c>
      <c r="E724" s="3" t="str">
        <f>CONCAT("Q","/",LEFT(Table2[[#This Row],[Quotation Type]],1),"/", LEFT(Table2[[#This Row],[Branch]],1),"/", RIGHT(YEAR(TODAY()),2), "/",Table2[[#This Row],[Seq. Number]])</f>
        <v>Q/A/H/26/897</v>
      </c>
      <c r="F724" s="3" t="str">
        <v>Astol Albahr</v>
      </c>
      <c r="G724" s="3" t="str">
        <v>Lorcon Manila</v>
      </c>
      <c r="I724" s="3" t="str">
        <v>GC</v>
      </c>
      <c r="J724" s="3" t="str">
        <v>Mesco</v>
      </c>
    </row>
    <row r="725">
      <c r="A725" s="3">
        <v>45593</v>
      </c>
      <c r="B725" s="3" t="str">
        <v>A:Addition</v>
      </c>
      <c r="C725" s="3" t="str">
        <v>P:P&amp;I</v>
      </c>
      <c r="D725" s="3">
        <f>D724+1</f>
        <v>898</v>
      </c>
      <c r="E725" s="3" t="str">
        <f>CONCAT("Q","/",LEFT(Table2[[#This Row],[Quotation Type]],1),"/", LEFT(Table2[[#This Row],[Branch]],1),"/", RIGHT(YEAR(TODAY()),2), "/",Table2[[#This Row],[Seq. Number]])</f>
        <v>Q/A/P/26/898</v>
      </c>
      <c r="F725" s="3" t="str">
        <v>Astol Albahr</v>
      </c>
      <c r="G725" s="3" t="str">
        <v>Lorcon Manila</v>
      </c>
      <c r="I725" s="3" t="str">
        <v>GC</v>
      </c>
      <c r="J725" s="3" t="str">
        <v>Ferrari</v>
      </c>
    </row>
    <row r="726">
      <c r="A726" s="3">
        <v>45593</v>
      </c>
      <c r="B726" s="3" t="str">
        <v>N:New Quotation</v>
      </c>
      <c r="C726" s="3" t="str">
        <v>H:Hull</v>
      </c>
      <c r="D726" s="3">
        <f>D725+1</f>
        <v>899</v>
      </c>
      <c r="E726" s="3" t="str">
        <f>CONCAT("Q","/",LEFT(Table2[[#This Row],[Quotation Type]],1),"/", LEFT(Table2[[#This Row],[Branch]],1),"/", RIGHT(YEAR(TODAY()),2), "/",Table2[[#This Row],[Seq. Number]])</f>
        <v>Q/N/H/26/899</v>
      </c>
      <c r="G726" s="3" t="str">
        <v>Hala Star</v>
      </c>
      <c r="I726" s="3" t="str">
        <v>GC</v>
      </c>
      <c r="J726" s="3" t="str">
        <v>Mesco</v>
      </c>
    </row>
    <row r="727">
      <c r="A727" s="3">
        <v>45593</v>
      </c>
      <c r="B727" s="3" t="str">
        <v>R:Renewal</v>
      </c>
      <c r="C727" s="3" t="str">
        <v>H:Hull</v>
      </c>
      <c r="D727" s="3">
        <f>D726+1</f>
        <v>900</v>
      </c>
      <c r="E727" s="3" t="str">
        <f>CONCAT("Q","/",LEFT(Table2[[#This Row],[Quotation Type]],1),"/", LEFT(Table2[[#This Row],[Branch]],1),"/", RIGHT(YEAR(TODAY()),2), "/",Table2[[#This Row],[Seq. Number]])</f>
        <v>Q/R/H/26/900</v>
      </c>
      <c r="F727" s="3" t="str">
        <v>Ocmis Maritime</v>
      </c>
      <c r="I727" s="3" t="str">
        <v>GC</v>
      </c>
      <c r="J727" s="3" t="str">
        <v>Mesco</v>
      </c>
    </row>
    <row r="728">
      <c r="A728" s="3">
        <v>45593</v>
      </c>
      <c r="B728" s="3" t="str">
        <v>R:Renewal</v>
      </c>
      <c r="C728" s="3" t="str">
        <v>H:Hull</v>
      </c>
      <c r="D728" s="3">
        <f>D727+1</f>
        <v>901</v>
      </c>
      <c r="E728" s="3" t="str">
        <f>CONCAT("Q","/",LEFT(Table2[[#This Row],[Quotation Type]],1),"/", LEFT(Table2[[#This Row],[Branch]],1),"/", RIGHT(YEAR(TODAY()),2), "/",Table2[[#This Row],[Seq. Number]])</f>
        <v>Q/R/H/26/901</v>
      </c>
      <c r="G728" s="3" t="str">
        <v>Vision I</v>
      </c>
      <c r="I728" s="3" t="str">
        <v>BC</v>
      </c>
      <c r="J728" s="3" t="str">
        <v>City</v>
      </c>
    </row>
    <row r="729">
      <c r="A729" s="3">
        <v>45593</v>
      </c>
      <c r="B729" s="3" t="str">
        <v>R:Renewal</v>
      </c>
      <c r="C729" s="3" t="str">
        <v>W:War</v>
      </c>
      <c r="D729" s="3">
        <f>D728+1</f>
        <v>902</v>
      </c>
      <c r="E729" s="3" t="str">
        <f>CONCAT("Q","/",LEFT(Table2[[#This Row],[Quotation Type]],1),"/", LEFT(Table2[[#This Row],[Branch]],1),"/", RIGHT(YEAR(TODAY()),2), "/",Table2[[#This Row],[Seq. Number]])</f>
        <v>Q/R/W/26/902</v>
      </c>
      <c r="G729" s="3" t="str">
        <v>Vision I</v>
      </c>
      <c r="I729" s="3" t="str">
        <v>BC</v>
      </c>
      <c r="J729" s="3" t="str">
        <v>City</v>
      </c>
    </row>
    <row r="730">
      <c r="A730" s="3">
        <v>45595</v>
      </c>
      <c r="B730" s="3" t="str">
        <v>R:Renewal</v>
      </c>
      <c r="C730" s="3" t="str">
        <v>H:Hull</v>
      </c>
      <c r="D730" s="3">
        <f>D729+1</f>
        <v>903</v>
      </c>
      <c r="E730" s="3" t="str">
        <f>CONCAT("Q","/",LEFT(Table2[[#This Row],[Quotation Type]],1),"/", LEFT(Table2[[#This Row],[Branch]],1),"/", RIGHT(YEAR(TODAY()),2), "/",Table2[[#This Row],[Seq. Number]])</f>
        <v>Q/R/H/26/903</v>
      </c>
      <c r="G730" s="3" t="str">
        <v>Ullswater</v>
      </c>
      <c r="I730" s="3" t="str">
        <v>O/T</v>
      </c>
      <c r="J730" s="3" t="str">
        <v>Newberry</v>
      </c>
    </row>
    <row r="731">
      <c r="A731" s="3">
        <v>45595</v>
      </c>
      <c r="B731" s="3" t="str">
        <v>R:Renewal</v>
      </c>
      <c r="C731" s="3" t="str">
        <v>H:Hull</v>
      </c>
      <c r="D731" s="3">
        <f>D730+1</f>
        <v>904</v>
      </c>
      <c r="E731" s="3" t="str">
        <f>CONCAT("Q","/",LEFT(Table2[[#This Row],[Quotation Type]],1),"/", LEFT(Table2[[#This Row],[Branch]],1),"/", RIGHT(YEAR(TODAY()),2), "/",Table2[[#This Row],[Seq. Number]])</f>
        <v>Q/R/H/26/904</v>
      </c>
      <c r="G731" s="3" t="str">
        <v>Serenity Gas</v>
      </c>
      <c r="I731" s="3" t="str">
        <v>O/T</v>
      </c>
      <c r="J731" s="3" t="str">
        <v>Newberry</v>
      </c>
    </row>
    <row r="732">
      <c r="A732" s="3">
        <v>45596</v>
      </c>
      <c r="B732" s="3" t="str">
        <v>N:New Quotation</v>
      </c>
      <c r="C732" s="3" t="str">
        <v>V:Voyage</v>
      </c>
      <c r="D732" s="3">
        <f>D731+1</f>
        <v>905</v>
      </c>
      <c r="E732" s="3" t="str">
        <f>CONCAT("Q","/",LEFT(Table2[[#This Row],[Quotation Type]],1),"/", LEFT(Table2[[#This Row],[Branch]],1),"/", RIGHT(YEAR(TODAY()),2), "/",Table2[[#This Row],[Seq. Number]])</f>
        <v>Q/N/V/26/905</v>
      </c>
      <c r="G732" s="3" t="str">
        <v>Cabo De Hornos</v>
      </c>
      <c r="I732" s="3" t="str">
        <v>GC</v>
      </c>
      <c r="J732" s="3" t="str">
        <v>SSS</v>
      </c>
    </row>
    <row r="733">
      <c r="A733" s="3">
        <v>45597</v>
      </c>
      <c r="B733" s="3" t="str">
        <v>R:Renewal</v>
      </c>
      <c r="C733" s="3" t="str">
        <v>H:Hull</v>
      </c>
      <c r="D733" s="3">
        <f>D732+1</f>
        <v>906</v>
      </c>
      <c r="E733" s="3" t="str">
        <f>CONCAT("Q","/",LEFT(Table2[[#This Row],[Quotation Type]],1),"/", LEFT(Table2[[#This Row],[Branch]],1),"/", RIGHT(YEAR(TODAY()),2), "/",Table2[[#This Row],[Seq. Number]])</f>
        <v>Q/R/H/26/906</v>
      </c>
      <c r="G733" s="3" t="str">
        <v>Rio</v>
      </c>
      <c r="I733" s="3" t="str">
        <v>GC</v>
      </c>
      <c r="J733" s="3" t="str">
        <v>Direct</v>
      </c>
    </row>
    <row r="734">
      <c r="A734" s="3">
        <v>45597</v>
      </c>
      <c r="B734" s="3" t="str">
        <v>R:Renewal</v>
      </c>
      <c r="C734" s="3" t="str">
        <v>W:War</v>
      </c>
      <c r="D734" s="3">
        <f>D733+1</f>
        <v>907</v>
      </c>
      <c r="E734" s="3" t="str">
        <f>CONCAT("Q","/",LEFT(Table2[[#This Row],[Quotation Type]],1),"/", LEFT(Table2[[#This Row],[Branch]],1),"/", RIGHT(YEAR(TODAY()),2), "/",Table2[[#This Row],[Seq. Number]])</f>
        <v>Q/R/W/26/907</v>
      </c>
      <c r="G734" s="3" t="str">
        <v>Rio</v>
      </c>
      <c r="I734" s="3" t="str">
        <v>GC</v>
      </c>
      <c r="J734" s="3" t="str">
        <v>Direct</v>
      </c>
    </row>
    <row r="735">
      <c r="A735" s="3">
        <v>45600</v>
      </c>
      <c r="B735" s="3" t="str">
        <v>R:Renewal</v>
      </c>
      <c r="C735" s="3" t="str">
        <v>H:Hull</v>
      </c>
      <c r="D735" s="3">
        <f>D734+1</f>
        <v>908</v>
      </c>
      <c r="E735" s="3" t="str">
        <f>CONCAT("Q","/",LEFT(Table2[[#This Row],[Quotation Type]],1),"/", LEFT(Table2[[#This Row],[Branch]],1),"/", RIGHT(YEAR(TODAY()),2), "/",Table2[[#This Row],[Seq. Number]])</f>
        <v>Q/R/H/26/908</v>
      </c>
      <c r="G735" s="3" t="str">
        <v>MN Talos</v>
      </c>
      <c r="I735" s="3" t="str">
        <v>GC</v>
      </c>
      <c r="J735" s="3" t="str">
        <v>SSS</v>
      </c>
    </row>
    <row r="736">
      <c r="A736" s="3">
        <v>45600</v>
      </c>
      <c r="B736" s="3" t="str">
        <v>R:Renewal</v>
      </c>
      <c r="C736" s="3" t="str">
        <v>W:War</v>
      </c>
      <c r="D736" s="3">
        <f>D735+1</f>
        <v>909</v>
      </c>
      <c r="E736" s="3" t="str">
        <f>CONCAT("Q","/",LEFT(Table2[[#This Row],[Quotation Type]],1),"/", LEFT(Table2[[#This Row],[Branch]],1),"/", RIGHT(YEAR(TODAY()),2), "/",Table2[[#This Row],[Seq. Number]])</f>
        <v>Q/R/W/26/909</v>
      </c>
      <c r="G736" s="3" t="str">
        <v>MN Talos</v>
      </c>
      <c r="I736" s="3" t="str">
        <v>GC</v>
      </c>
      <c r="J736" s="3" t="str">
        <v>SSS</v>
      </c>
    </row>
    <row r="737">
      <c r="A737" s="3">
        <v>45600</v>
      </c>
      <c r="B737" s="3" t="str">
        <v>R:Renewal</v>
      </c>
      <c r="C737" s="3" t="str">
        <v>H:Hull</v>
      </c>
      <c r="D737" s="3">
        <f>D736+1</f>
        <v>910</v>
      </c>
      <c r="E737" s="3" t="str">
        <f>CONCAT("Q","/",LEFT(Table2[[#This Row],[Quotation Type]],1),"/", LEFT(Table2[[#This Row],[Branch]],1),"/", RIGHT(YEAR(TODAY()),2), "/",Table2[[#This Row],[Seq. Number]])</f>
        <v>Q/R/H/26/910</v>
      </c>
      <c r="G737" s="3" t="str">
        <v>Transporter</v>
      </c>
      <c r="I737" s="3" t="str">
        <v>MLV</v>
      </c>
      <c r="J737" s="3" t="str">
        <v>Direct</v>
      </c>
    </row>
    <row r="738">
      <c r="A738" s="3">
        <v>45600</v>
      </c>
      <c r="B738" s="3" t="str">
        <v>R:Renewal</v>
      </c>
      <c r="C738" s="3" t="str">
        <v>P:P&amp;I</v>
      </c>
      <c r="D738" s="3">
        <f>D737+1</f>
        <v>911</v>
      </c>
      <c r="E738" s="3" t="str">
        <f>CONCAT("Q","/",LEFT(Table2[[#This Row],[Quotation Type]],1),"/", LEFT(Table2[[#This Row],[Branch]],1),"/", RIGHT(YEAR(TODAY()),2), "/",Table2[[#This Row],[Seq. Number]])</f>
        <v>Q/R/P/26/911</v>
      </c>
      <c r="G738" s="3" t="str">
        <v>Transporter</v>
      </c>
      <c r="I738" s="3" t="str">
        <v>MLV</v>
      </c>
      <c r="J738" s="3" t="str">
        <v>Direct</v>
      </c>
    </row>
    <row r="739">
      <c r="A739" s="3">
        <v>45600</v>
      </c>
      <c r="B739" s="3" t="str">
        <v>R:Renewal</v>
      </c>
      <c r="C739" s="3" t="str">
        <v>W:War</v>
      </c>
      <c r="D739" s="3">
        <f>D738+1</f>
        <v>912</v>
      </c>
      <c r="E739" s="3" t="str">
        <f>CONCAT("Q","/",LEFT(Table2[[#This Row],[Quotation Type]],1),"/", LEFT(Table2[[#This Row],[Branch]],1),"/", RIGHT(YEAR(TODAY()),2), "/",Table2[[#This Row],[Seq. Number]])</f>
        <v>Q/R/W/26/912</v>
      </c>
      <c r="G739" s="3" t="str">
        <v>Transporter</v>
      </c>
      <c r="I739" s="3" t="str">
        <v>MLV</v>
      </c>
      <c r="J739" s="3" t="str">
        <v>Direct</v>
      </c>
    </row>
    <row r="740">
      <c r="A740" s="3">
        <v>45601</v>
      </c>
      <c r="B740" s="3" t="str">
        <v>A:Addition</v>
      </c>
      <c r="C740" s="3" t="str">
        <v>H:Hull</v>
      </c>
      <c r="D740" s="3">
        <f>D739+1</f>
        <v>913</v>
      </c>
      <c r="E740" s="3" t="str">
        <f>CONCAT("Q","/",LEFT(Table2[[#This Row],[Quotation Type]],1),"/", LEFT(Table2[[#This Row],[Branch]],1),"/", RIGHT(YEAR(TODAY()),2), "/",Table2[[#This Row],[Seq. Number]])</f>
        <v>Q/A/H/26/913</v>
      </c>
      <c r="F740" s="3" t="str">
        <v>Set Shipmanagement</v>
      </c>
      <c r="I740" s="3" t="str">
        <v>GC</v>
      </c>
      <c r="J740" s="3" t="str">
        <v>Kuzey</v>
      </c>
    </row>
    <row r="741">
      <c r="A741" s="3">
        <v>45602</v>
      </c>
      <c r="B741" s="3" t="str">
        <v>N:New Quotation</v>
      </c>
      <c r="C741" s="3" t="str">
        <v>P:P&amp;I</v>
      </c>
      <c r="D741" s="3">
        <f>D740+1</f>
        <v>914</v>
      </c>
      <c r="E741" s="3" t="str">
        <f>CONCAT("Q","/",LEFT(Table2[[#This Row],[Quotation Type]],1),"/", LEFT(Table2[[#This Row],[Branch]],1),"/", RIGHT(YEAR(TODAY()),2), "/",Table2[[#This Row],[Seq. Number]])</f>
        <v>Q/N/P/26/914</v>
      </c>
      <c r="F741" s="3" t="str">
        <v>EGE Denizcilik</v>
      </c>
      <c r="I741" s="3" t="str">
        <v>GC</v>
      </c>
      <c r="J741" s="3" t="str">
        <v>Kuzey</v>
      </c>
    </row>
    <row r="742">
      <c r="A742" s="3">
        <v>45602</v>
      </c>
      <c r="B742" s="3" t="str">
        <v>N:New Quotation</v>
      </c>
      <c r="C742" s="3" t="str">
        <v>P:P&amp;I</v>
      </c>
      <c r="D742" s="3">
        <f>D741+1</f>
        <v>915</v>
      </c>
      <c r="E742" s="3" t="str">
        <f>CONCAT("Q","/",LEFT(Table2[[#This Row],[Quotation Type]],1),"/", LEFT(Table2[[#This Row],[Branch]],1),"/", RIGHT(YEAR(TODAY()),2), "/",Table2[[#This Row],[Seq. Number]])</f>
        <v>Q/N/P/26/915</v>
      </c>
      <c r="G742" s="3" t="str">
        <v>Sinai 1</v>
      </c>
      <c r="I742" s="3" t="str">
        <v>Fishing Vessel</v>
      </c>
      <c r="J742" s="3" t="str">
        <v>Kuzey</v>
      </c>
    </row>
    <row r="743">
      <c r="A743" s="3">
        <v>45602</v>
      </c>
      <c r="B743" s="3" t="str">
        <v>N:New Quotation</v>
      </c>
      <c r="C743" s="3" t="str">
        <v>P:P&amp;I</v>
      </c>
      <c r="D743" s="3">
        <f>D742+1</f>
        <v>916</v>
      </c>
      <c r="E743" s="3" t="str">
        <f>CONCAT("Q","/",LEFT(Table2[[#This Row],[Quotation Type]],1),"/", LEFT(Table2[[#This Row],[Branch]],1),"/", RIGHT(YEAR(TODAY()),2), "/",Table2[[#This Row],[Seq. Number]])</f>
        <v>Q/N/P/26/916</v>
      </c>
      <c r="F743" s="3" t="str">
        <v>Bayrouti Shipping</v>
      </c>
      <c r="G743" s="3" t="str">
        <v>Professor Wenger</v>
      </c>
      <c r="I743" s="3" t="str">
        <v>BC</v>
      </c>
      <c r="J743" s="3" t="str">
        <v>Direct</v>
      </c>
    </row>
    <row r="744">
      <c r="A744" s="3">
        <v>45607</v>
      </c>
      <c r="B744" s="3" t="str">
        <v>N:New Quotation</v>
      </c>
      <c r="C744" s="3" t="str">
        <v>H:Hull</v>
      </c>
      <c r="D744" s="3">
        <f>D743+1</f>
        <v>917</v>
      </c>
      <c r="E744" s="3" t="str">
        <f>CONCAT("Q","/",LEFT(Table2[[#This Row],[Quotation Type]],1),"/", LEFT(Table2[[#This Row],[Branch]],1),"/", RIGHT(YEAR(TODAY()),2), "/",Table2[[#This Row],[Seq. Number]])</f>
        <v>Q/N/H/26/917</v>
      </c>
      <c r="G744" s="3" t="str">
        <v>Sea Pride</v>
      </c>
      <c r="I744" s="3" t="str">
        <v>Fishing Vessel</v>
      </c>
      <c r="J744" s="3" t="str">
        <v>IPIC</v>
      </c>
    </row>
    <row r="745">
      <c r="A745" s="3">
        <v>45607</v>
      </c>
      <c r="B745" s="3" t="str">
        <v>A:Addition</v>
      </c>
      <c r="C745" s="3" t="str">
        <v>P:P&amp;I</v>
      </c>
      <c r="D745" s="3">
        <f>D744+1</f>
        <v>918</v>
      </c>
      <c r="E745" s="3" t="str">
        <f>CONCAT("Q","/",LEFT(Table2[[#This Row],[Quotation Type]],1),"/", LEFT(Table2[[#This Row],[Branch]],1),"/", RIGHT(YEAR(TODAY()),2), "/",Table2[[#This Row],[Seq. Number]])</f>
        <v>Q/A/P/26/918</v>
      </c>
      <c r="G745" s="3" t="str">
        <v>Ghazal Star</v>
      </c>
      <c r="I745" s="3" t="str">
        <v>GC</v>
      </c>
      <c r="J745" s="3" t="str">
        <v>Brandenburg</v>
      </c>
    </row>
    <row r="746">
      <c r="A746" s="3">
        <v>45609</v>
      </c>
      <c r="B746" s="3" t="str">
        <v>N:New Quotation</v>
      </c>
      <c r="C746" s="3" t="str">
        <v>H:Hull</v>
      </c>
      <c r="D746" s="3">
        <f>D745+1</f>
        <v>919</v>
      </c>
      <c r="E746" s="3" t="str">
        <f>CONCAT("Q","/",LEFT(Table2[[#This Row],[Quotation Type]],1),"/", LEFT(Table2[[#This Row],[Branch]],1),"/", RIGHT(YEAR(TODAY()),2), "/",Table2[[#This Row],[Seq. Number]])</f>
        <v>Q/N/H/26/919</v>
      </c>
      <c r="G746" s="3" t="str">
        <v>Cimarron</v>
      </c>
      <c r="I746" s="3" t="str">
        <v>Tug</v>
      </c>
      <c r="J746" s="3" t="str">
        <v>SSS</v>
      </c>
    </row>
    <row r="747">
      <c r="A747" s="3">
        <v>45609</v>
      </c>
      <c r="B747" s="3" t="str">
        <v>N:New Quotation</v>
      </c>
      <c r="C747" s="3" t="str">
        <v>P:P&amp;I</v>
      </c>
      <c r="D747" s="3">
        <f>D746+1</f>
        <v>920</v>
      </c>
      <c r="E747" s="3" t="str">
        <f>CONCAT("Q","/",LEFT(Table2[[#This Row],[Quotation Type]],1),"/", LEFT(Table2[[#This Row],[Branch]],1),"/", RIGHT(YEAR(TODAY()),2), "/",Table2[[#This Row],[Seq. Number]])</f>
        <v>Q/N/P/26/920</v>
      </c>
      <c r="G747" s="3" t="str">
        <v>Cimarron</v>
      </c>
      <c r="I747" s="3" t="str">
        <v>Tug</v>
      </c>
      <c r="J747" s="3" t="str">
        <v>SSS</v>
      </c>
    </row>
    <row r="748">
      <c r="A748" s="3">
        <v>45609</v>
      </c>
      <c r="B748" s="3" t="str">
        <v>R:Renewal</v>
      </c>
      <c r="C748" s="3" t="str">
        <v>H:Hull</v>
      </c>
      <c r="D748" s="3">
        <f>D747+1</f>
        <v>921</v>
      </c>
      <c r="E748" s="3" t="str">
        <f>CONCAT("Q","/",LEFT(Table2[[#This Row],[Quotation Type]],1),"/", LEFT(Table2[[#This Row],[Branch]],1),"/", RIGHT(YEAR(TODAY()),2), "/",Table2[[#This Row],[Seq. Number]])</f>
        <v>Q/R/H/26/921</v>
      </c>
      <c r="G748" s="3" t="str">
        <v>Milla Moon</v>
      </c>
      <c r="I748" s="3" t="str">
        <v>GC</v>
      </c>
      <c r="J748" s="3" t="str">
        <v>GMS</v>
      </c>
    </row>
    <row r="749">
      <c r="A749" s="3">
        <v>45609</v>
      </c>
      <c r="B749" s="3" t="str">
        <v>R:Renewal</v>
      </c>
      <c r="C749" s="3" t="str">
        <v>P:P&amp;I</v>
      </c>
      <c r="D749" s="3">
        <f>D748+1</f>
        <v>922</v>
      </c>
      <c r="E749" s="3" t="str">
        <f>CONCAT("Q","/",LEFT(Table2[[#This Row],[Quotation Type]],1),"/", LEFT(Table2[[#This Row],[Branch]],1),"/", RIGHT(YEAR(TODAY()),2), "/",Table2[[#This Row],[Seq. Number]])</f>
        <v>Q/R/P/26/922</v>
      </c>
      <c r="G749" s="3" t="str">
        <v>Milla Moon</v>
      </c>
      <c r="I749" s="3" t="str">
        <v>GC</v>
      </c>
      <c r="J749" s="3" t="str">
        <v>GMS</v>
      </c>
    </row>
    <row r="750">
      <c r="A750" s="3">
        <v>45609</v>
      </c>
      <c r="B750" s="3" t="str">
        <v>N:New Quotation</v>
      </c>
      <c r="C750" s="3" t="str">
        <v>H:Hull</v>
      </c>
      <c r="D750" s="3">
        <f>D749+1</f>
        <v>923</v>
      </c>
      <c r="E750" s="3" t="str">
        <f>CONCAT("Q","/",LEFT(Table2[[#This Row],[Quotation Type]],1),"/", LEFT(Table2[[#This Row],[Branch]],1),"/", RIGHT(YEAR(TODAY()),2), "/",Table2[[#This Row],[Seq. Number]])</f>
        <v>Q/N/H/26/923</v>
      </c>
      <c r="G750" s="3" t="str">
        <v>Blue Gold</v>
      </c>
      <c r="I750" s="3" t="str">
        <v>BC</v>
      </c>
      <c r="J750" s="3" t="str">
        <v>GMCG</v>
      </c>
    </row>
    <row r="751">
      <c r="A751" s="3">
        <v>45609</v>
      </c>
      <c r="B751" s="3" t="str">
        <v>N:New Quotation</v>
      </c>
      <c r="C751" s="3" t="str">
        <v>P:P&amp;I</v>
      </c>
      <c r="D751" s="3">
        <f>D750+1</f>
        <v>924</v>
      </c>
      <c r="E751" s="3" t="str">
        <f>CONCAT("Q","/",LEFT(Table2[[#This Row],[Quotation Type]],1),"/", LEFT(Table2[[#This Row],[Branch]],1),"/", RIGHT(YEAR(TODAY()),2), "/",Table2[[#This Row],[Seq. Number]])</f>
        <v>Q/N/P/26/924</v>
      </c>
      <c r="G751" s="3" t="str">
        <v>Warba</v>
      </c>
      <c r="I751" s="3" t="str">
        <v>GC</v>
      </c>
      <c r="J751" s="3" t="str">
        <v>Observator</v>
      </c>
    </row>
    <row r="752">
      <c r="A752" s="3">
        <v>45610</v>
      </c>
      <c r="B752" s="3" t="str">
        <v>R:Renewal</v>
      </c>
      <c r="C752" s="3" t="str">
        <v>H:Hull</v>
      </c>
      <c r="D752" s="3">
        <f>D751+1</f>
        <v>925</v>
      </c>
      <c r="E752" s="3" t="str">
        <f>CONCAT("Q","/",LEFT(Table2[[#This Row],[Quotation Type]],1),"/", LEFT(Table2[[#This Row],[Branch]],1),"/", RIGHT(YEAR(TODAY()),2), "/",Table2[[#This Row],[Seq. Number]])</f>
        <v>Q/R/H/26/925</v>
      </c>
      <c r="F752" s="3" t="str">
        <v>MCD Shipping</v>
      </c>
      <c r="I752" s="3" t="str">
        <v>BC</v>
      </c>
      <c r="J752" s="3" t="str">
        <v>Sarnia</v>
      </c>
    </row>
    <row r="753">
      <c r="A753" s="3">
        <v>45610</v>
      </c>
      <c r="B753" s="3" t="str">
        <v>R:Renewal</v>
      </c>
      <c r="C753" s="3" t="str">
        <v>W:War</v>
      </c>
      <c r="D753" s="3">
        <f>D752+1</f>
        <v>926</v>
      </c>
      <c r="E753" s="3" t="str">
        <f>CONCAT("Q","/",LEFT(Table2[[#This Row],[Quotation Type]],1),"/", LEFT(Table2[[#This Row],[Branch]],1),"/", RIGHT(YEAR(TODAY()),2), "/",Table2[[#This Row],[Seq. Number]])</f>
        <v>Q/R/W/26/926</v>
      </c>
      <c r="F753" s="3" t="str">
        <v>MCD Shipping</v>
      </c>
      <c r="I753" s="3" t="str">
        <v>BC</v>
      </c>
      <c r="J753" s="3" t="str">
        <v>Sarnia</v>
      </c>
    </row>
    <row r="754">
      <c r="A754" s="3">
        <v>45610</v>
      </c>
      <c r="B754" s="3" t="str">
        <v>R:Renewal</v>
      </c>
      <c r="C754" s="3" t="str">
        <v>P:P&amp;I</v>
      </c>
      <c r="D754" s="3">
        <f>D753+1</f>
        <v>927</v>
      </c>
      <c r="E754" s="3" t="str">
        <f>CONCAT("Q","/",LEFT(Table2[[#This Row],[Quotation Type]],1),"/", LEFT(Table2[[#This Row],[Branch]],1),"/", RIGHT(YEAR(TODAY()),2), "/",Table2[[#This Row],[Seq. Number]])</f>
        <v>Q/R/P/26/927</v>
      </c>
      <c r="G754" s="3" t="str">
        <v>Sarah M</v>
      </c>
      <c r="I754" s="3" t="str">
        <v>MLV</v>
      </c>
      <c r="J754" s="3" t="str">
        <v>Direct</v>
      </c>
    </row>
    <row r="755">
      <c r="A755" s="3">
        <v>45610</v>
      </c>
      <c r="B755" s="3" t="str">
        <v>N:New Quotation</v>
      </c>
      <c r="C755" s="3" t="str">
        <v>H:Hull</v>
      </c>
      <c r="D755" s="3">
        <f>D754+1</f>
        <v>928</v>
      </c>
      <c r="E755" s="3" t="str">
        <f>CONCAT("Q","/",LEFT(Table2[[#This Row],[Quotation Type]],1),"/", LEFT(Table2[[#This Row],[Branch]],1),"/", RIGHT(YEAR(TODAY()),2), "/",Table2[[#This Row],[Seq. Number]])</f>
        <v>Q/N/H/26/928</v>
      </c>
      <c r="G755" s="3" t="str">
        <v>Benban Arees</v>
      </c>
      <c r="I755" s="3" t="str">
        <v>Landing</v>
      </c>
      <c r="J755" s="3" t="str">
        <v>Mesco</v>
      </c>
    </row>
    <row r="756">
      <c r="A756" s="3">
        <v>45610</v>
      </c>
      <c r="B756" s="3" t="str">
        <v>N:New Quotation</v>
      </c>
      <c r="C756" s="3" t="str">
        <v>P:P&amp;I</v>
      </c>
      <c r="D756" s="3">
        <f>D755+1</f>
        <v>929</v>
      </c>
      <c r="E756" s="3" t="str">
        <f>CONCAT("Q","/",LEFT(Table2[[#This Row],[Quotation Type]],1),"/", LEFT(Table2[[#This Row],[Branch]],1),"/", RIGHT(YEAR(TODAY()),2), "/",Table2[[#This Row],[Seq. Number]])</f>
        <v>Q/N/P/26/929</v>
      </c>
      <c r="G756" s="3" t="str">
        <v>Benban Arees</v>
      </c>
      <c r="I756" s="3" t="str">
        <v>Landing</v>
      </c>
      <c r="J756" s="3" t="str">
        <v>Mesco</v>
      </c>
    </row>
    <row r="757">
      <c r="A757" s="3">
        <v>45610</v>
      </c>
      <c r="B757" s="3" t="str">
        <v>N:New Quotation</v>
      </c>
      <c r="C757" s="3" t="str">
        <v>H:Hull</v>
      </c>
      <c r="D757" s="3">
        <f>D756+1</f>
        <v>930</v>
      </c>
      <c r="E757" s="3" t="str">
        <f>CONCAT("Q","/",LEFT(Table2[[#This Row],[Quotation Type]],1),"/", LEFT(Table2[[#This Row],[Branch]],1),"/", RIGHT(YEAR(TODAY()),2), "/",Table2[[#This Row],[Seq. Number]])</f>
        <v>Q/N/H/26/930</v>
      </c>
      <c r="G757" s="3" t="str">
        <v>Ocean 15 - Ocean 4</v>
      </c>
      <c r="I757" s="3" t="str">
        <v>GC</v>
      </c>
      <c r="J757" s="3" t="str">
        <v>Observator</v>
      </c>
    </row>
    <row r="758">
      <c r="A758" s="3">
        <v>45614</v>
      </c>
      <c r="B758" s="3" t="str">
        <v>A:Addition</v>
      </c>
      <c r="C758" s="3" t="str">
        <v>P:P&amp;I</v>
      </c>
      <c r="D758" s="3">
        <f>D757+1</f>
        <v>931</v>
      </c>
      <c r="E758" s="3" t="str">
        <f>CONCAT("Q","/",LEFT(Table2[[#This Row],[Quotation Type]],1),"/", LEFT(Table2[[#This Row],[Branch]],1),"/", RIGHT(YEAR(TODAY()),2), "/",Table2[[#This Row],[Seq. Number]])</f>
        <v>Q/A/P/26/931</v>
      </c>
      <c r="F758" s="3" t="str">
        <v>UTA</v>
      </c>
      <c r="G758" s="3" t="str">
        <v>ALR</v>
      </c>
      <c r="I758" s="3" t="str">
        <v>GC</v>
      </c>
      <c r="J758" s="3" t="str">
        <v>Kuzey</v>
      </c>
    </row>
    <row r="759">
      <c r="A759" s="3">
        <v>45615</v>
      </c>
      <c r="B759" s="3" t="str">
        <v>A:Addition</v>
      </c>
      <c r="C759" s="3" t="str">
        <v>H:Hull</v>
      </c>
      <c r="D759" s="3">
        <f>D758+1</f>
        <v>932</v>
      </c>
      <c r="E759" s="3" t="str">
        <f>CONCAT("Q","/",LEFT(Table2[[#This Row],[Quotation Type]],1),"/", LEFT(Table2[[#This Row],[Branch]],1),"/", RIGHT(YEAR(TODAY()),2), "/",Table2[[#This Row],[Seq. Number]])</f>
        <v>Q/A/H/26/932</v>
      </c>
      <c r="G759" s="3" t="str">
        <v>RMA</v>
      </c>
      <c r="I759" s="3" t="str">
        <v>O/T</v>
      </c>
      <c r="J759" s="3" t="str">
        <v>City</v>
      </c>
    </row>
    <row r="760">
      <c r="A760" s="3">
        <v>45615</v>
      </c>
      <c r="B760" s="3" t="str">
        <v>A:Addition</v>
      </c>
      <c r="C760" s="3" t="str">
        <v>W:War</v>
      </c>
      <c r="D760" s="3">
        <f>D759+1</f>
        <v>933</v>
      </c>
      <c r="E760" s="3" t="str">
        <f>CONCAT("Q","/",LEFT(Table2[[#This Row],[Quotation Type]],1),"/", LEFT(Table2[[#This Row],[Branch]],1),"/", RIGHT(YEAR(TODAY()),2), "/",Table2[[#This Row],[Seq. Number]])</f>
        <v>Q/A/W/26/933</v>
      </c>
      <c r="G760" s="3" t="str">
        <v>RMA</v>
      </c>
      <c r="I760" s="3" t="str">
        <v>O/T</v>
      </c>
      <c r="J760" s="3" t="str">
        <v>City</v>
      </c>
    </row>
    <row r="761">
      <c r="A761" s="3">
        <v>45615</v>
      </c>
      <c r="B761" s="3" t="str">
        <v>N:New Quotation</v>
      </c>
      <c r="C761" s="3" t="str">
        <v>H:Hull</v>
      </c>
      <c r="D761" s="3">
        <f>D760+1</f>
        <v>934</v>
      </c>
      <c r="E761" s="3" t="str">
        <f>CONCAT("Q","/",LEFT(Table2[[#This Row],[Quotation Type]],1),"/", LEFT(Table2[[#This Row],[Branch]],1),"/", RIGHT(YEAR(TODAY()),2), "/",Table2[[#This Row],[Seq. Number]])</f>
        <v>Q/N/H/26/934</v>
      </c>
      <c r="G761" s="3" t="str">
        <v>Warba</v>
      </c>
      <c r="I761" s="3" t="str">
        <v>GC</v>
      </c>
      <c r="J761" s="3" t="str">
        <v>Observator</v>
      </c>
    </row>
    <row r="762">
      <c r="A762" s="3">
        <v>45616</v>
      </c>
      <c r="B762" s="3" t="str">
        <v>N:New Quotation</v>
      </c>
      <c r="C762" s="3" t="str">
        <v>H:Hull</v>
      </c>
      <c r="D762" s="3">
        <f>D761+1</f>
        <v>935</v>
      </c>
      <c r="E762" s="3" t="str">
        <f>CONCAT("Q","/",LEFT(Table2[[#This Row],[Quotation Type]],1),"/", LEFT(Table2[[#This Row],[Branch]],1),"/", RIGHT(YEAR(TODAY()),2), "/",Table2[[#This Row],[Seq. Number]])</f>
        <v>Q/N/H/26/935</v>
      </c>
      <c r="G762" s="3" t="str">
        <v>Violet Ruby</v>
      </c>
      <c r="I762" s="3" t="str">
        <v>O/T</v>
      </c>
      <c r="J762" s="3" t="str">
        <v>Newberry</v>
      </c>
    </row>
    <row r="763">
      <c r="A763" s="3">
        <v>45616</v>
      </c>
      <c r="B763" s="3" t="str">
        <v>R:Renewal</v>
      </c>
      <c r="C763" s="3" t="str">
        <v>P:P&amp;I</v>
      </c>
      <c r="D763" s="3">
        <f>D762+1</f>
        <v>936</v>
      </c>
      <c r="E763" s="3" t="str">
        <f>CONCAT("Q","/",LEFT(Table2[[#This Row],[Quotation Type]],1),"/", LEFT(Table2[[#This Row],[Branch]],1),"/", RIGHT(YEAR(TODAY()),2), "/",Table2[[#This Row],[Seq. Number]])</f>
        <v>Q/R/P/26/936</v>
      </c>
      <c r="G763" s="3" t="str">
        <v>Baron</v>
      </c>
      <c r="I763" s="3" t="str">
        <v>GC</v>
      </c>
      <c r="J763" s="3" t="str">
        <v>Observator</v>
      </c>
    </row>
    <row r="764">
      <c r="A764" s="3">
        <v>45616</v>
      </c>
      <c r="B764" s="3" t="str">
        <v>A:Addition</v>
      </c>
      <c r="C764" s="3" t="str">
        <v>P:P&amp;I</v>
      </c>
      <c r="D764" s="3">
        <f>D763+1</f>
        <v>937</v>
      </c>
      <c r="E764" s="3" t="str">
        <f>CONCAT("Q","/",LEFT(Table2[[#This Row],[Quotation Type]],1),"/", LEFT(Table2[[#This Row],[Branch]],1),"/", RIGHT(YEAR(TODAY()),2), "/",Table2[[#This Row],[Seq. Number]])</f>
        <v>Q/A/P/26/937</v>
      </c>
      <c r="F764" s="3" t="str">
        <v>Astol Albahr</v>
      </c>
      <c r="G764" s="3" t="str">
        <v>Shun Ye</v>
      </c>
      <c r="I764" s="3" t="str">
        <v>GC</v>
      </c>
      <c r="J764" s="3" t="str">
        <v>Ferrari</v>
      </c>
    </row>
    <row r="765">
      <c r="A765" s="3">
        <v>45616</v>
      </c>
      <c r="B765" s="3" t="str">
        <v>R:Renewal</v>
      </c>
      <c r="C765" s="3" t="str">
        <v>H:Hull</v>
      </c>
      <c r="D765" s="3">
        <f>D764+1</f>
        <v>938</v>
      </c>
      <c r="E765" s="3" t="str">
        <f>CONCAT("Q","/",LEFT(Table2[[#This Row],[Quotation Type]],1),"/", LEFT(Table2[[#This Row],[Branch]],1),"/", RIGHT(YEAR(TODAY()),2), "/",Table2[[#This Row],[Seq. Number]])</f>
        <v>Q/R/H/26/938</v>
      </c>
      <c r="F765" s="3" t="str">
        <v>Bassam Affasha</v>
      </c>
      <c r="G765" s="3" t="str">
        <v>Ward Albahr</v>
      </c>
      <c r="I765" s="3" t="str">
        <v>Crew Boat</v>
      </c>
      <c r="J765" s="3" t="str">
        <v>Direct</v>
      </c>
    </row>
    <row r="766">
      <c r="A766" s="3">
        <v>45616</v>
      </c>
      <c r="B766" s="3" t="str">
        <v>R:Renewal</v>
      </c>
      <c r="C766" s="3" t="str">
        <v>P:P&amp;I</v>
      </c>
      <c r="D766" s="3">
        <f>D765+1</f>
        <v>939</v>
      </c>
      <c r="E766" s="3" t="str">
        <f>CONCAT("Q","/",LEFT(Table2[[#This Row],[Quotation Type]],1),"/", LEFT(Table2[[#This Row],[Branch]],1),"/", RIGHT(YEAR(TODAY()),2), "/",Table2[[#This Row],[Seq. Number]])</f>
        <v>Q/R/P/26/939</v>
      </c>
      <c r="F766" s="3" t="str">
        <v>Bassam Affasha</v>
      </c>
      <c r="G766" s="3" t="str">
        <v>Ward Albahr</v>
      </c>
      <c r="I766" s="3" t="str">
        <v>Crew Boat</v>
      </c>
      <c r="J766" s="3" t="str">
        <v>Direct</v>
      </c>
    </row>
    <row r="767">
      <c r="A767" s="3">
        <v>45616</v>
      </c>
      <c r="B767" s="3" t="str">
        <v>R:Renewal</v>
      </c>
      <c r="C767" s="3" t="str">
        <v>H:Hull</v>
      </c>
      <c r="D767" s="3">
        <f>D766+1</f>
        <v>940</v>
      </c>
      <c r="E767" s="3" t="str">
        <f>CONCAT("Q","/",LEFT(Table2[[#This Row],[Quotation Type]],1),"/", LEFT(Table2[[#This Row],[Branch]],1),"/", RIGHT(YEAR(TODAY()),2), "/",Table2[[#This Row],[Seq. Number]])</f>
        <v>Q/R/H/26/940</v>
      </c>
      <c r="G767" s="3" t="str">
        <v>Talia</v>
      </c>
      <c r="I767" s="3" t="str">
        <v>GC</v>
      </c>
      <c r="J767" s="3" t="str">
        <v>Direct</v>
      </c>
    </row>
    <row r="768">
      <c r="A768" s="3">
        <v>45616</v>
      </c>
      <c r="B768" s="3" t="str">
        <v>R:Renewal</v>
      </c>
      <c r="C768" s="3" t="str">
        <v>P:P&amp;I</v>
      </c>
      <c r="D768" s="3">
        <f>D767+1</f>
        <v>941</v>
      </c>
      <c r="E768" s="3" t="str">
        <f>CONCAT("Q","/",LEFT(Table2[[#This Row],[Quotation Type]],1),"/", LEFT(Table2[[#This Row],[Branch]],1),"/", RIGHT(YEAR(TODAY()),2), "/",Table2[[#This Row],[Seq. Number]])</f>
        <v>Q/R/P/26/941</v>
      </c>
      <c r="G768" s="3" t="str">
        <v>Talia</v>
      </c>
      <c r="I768" s="3" t="str">
        <v>GC</v>
      </c>
      <c r="J768" s="3" t="str">
        <v>Direct</v>
      </c>
    </row>
    <row r="769">
      <c r="A769" s="3">
        <v>45617</v>
      </c>
      <c r="B769" s="3" t="str">
        <v>N:New Quotation</v>
      </c>
      <c r="C769" s="3" t="str">
        <v>C:Cargo</v>
      </c>
      <c r="D769" s="3">
        <f>D768+1</f>
        <v>942</v>
      </c>
      <c r="E769" s="3" t="str">
        <f>CONCAT("Q","/",LEFT(Table2[[#This Row],[Quotation Type]],1),"/", LEFT(Table2[[#This Row],[Branch]],1),"/", RIGHT(YEAR(TODAY()),2), "/",Table2[[#This Row],[Seq. Number]])</f>
        <v>Q/N/C/26/942</v>
      </c>
      <c r="F769" s="3" t="str">
        <v>Spiridon SARL</v>
      </c>
      <c r="G769" s="3" t="str">
        <v>Sarah M</v>
      </c>
      <c r="I769" s="3" t="str">
        <v>MLV</v>
      </c>
      <c r="J769" s="3" t="str">
        <v>Direct</v>
      </c>
    </row>
    <row r="770">
      <c r="A770" s="3">
        <v>45617</v>
      </c>
      <c r="B770" s="3" t="str">
        <v>R:Renewal</v>
      </c>
      <c r="C770" s="3" t="str">
        <v>H:Hull</v>
      </c>
      <c r="D770" s="3">
        <f>D769+1</f>
        <v>943</v>
      </c>
      <c r="E770" s="3" t="str">
        <f>CONCAT("Q","/",LEFT(Table2[[#This Row],[Quotation Type]],1),"/", LEFT(Table2[[#This Row],[Branch]],1),"/", RIGHT(YEAR(TODAY()),2), "/",Table2[[#This Row],[Seq. Number]])</f>
        <v>Q/R/H/26/943</v>
      </c>
      <c r="F770" s="3" t="str">
        <v>Seamasters International</v>
      </c>
      <c r="I770" s="3" t="str">
        <v>BC</v>
      </c>
      <c r="J770" s="3" t="str">
        <v>Sarnia</v>
      </c>
    </row>
    <row r="771">
      <c r="A771" s="3">
        <v>45617</v>
      </c>
      <c r="B771" s="3" t="str">
        <v>R:Renewal</v>
      </c>
      <c r="C771" s="3" t="str">
        <v>W:War</v>
      </c>
      <c r="D771" s="3">
        <f>D770+1</f>
        <v>944</v>
      </c>
      <c r="E771" s="3" t="str">
        <f>CONCAT("Q","/",LEFT(Table2[[#This Row],[Quotation Type]],1),"/", LEFT(Table2[[#This Row],[Branch]],1),"/", RIGHT(YEAR(TODAY()),2), "/",Table2[[#This Row],[Seq. Number]])</f>
        <v>Q/R/W/26/944</v>
      </c>
      <c r="F771" s="3" t="str">
        <v>Seamasters International</v>
      </c>
      <c r="I771" s="3" t="str">
        <v>BC</v>
      </c>
      <c r="J771" s="3" t="str">
        <v>Sarnia</v>
      </c>
    </row>
    <row r="772">
      <c r="A772" s="3">
        <v>45617</v>
      </c>
      <c r="B772" s="3" t="str">
        <v>N:New Quotation</v>
      </c>
      <c r="C772" s="3" t="str">
        <v>P:P&amp;I</v>
      </c>
      <c r="D772" s="3">
        <f>D771+1</f>
        <v>945</v>
      </c>
      <c r="E772" s="3" t="str">
        <f>CONCAT("Q","/",LEFT(Table2[[#This Row],[Quotation Type]],1),"/", LEFT(Table2[[#This Row],[Branch]],1),"/", RIGHT(YEAR(TODAY()),2), "/",Table2[[#This Row],[Seq. Number]])</f>
        <v>Q/N/P/26/945</v>
      </c>
      <c r="G772" s="3" t="str">
        <v>Al Dana</v>
      </c>
      <c r="I772" s="3" t="str">
        <v>Supply Vessel</v>
      </c>
      <c r="J772" s="3" t="str">
        <v>Ferrari</v>
      </c>
    </row>
    <row r="773">
      <c r="A773" s="3">
        <v>45617</v>
      </c>
      <c r="B773" s="3" t="str">
        <v>N:New Quotation</v>
      </c>
      <c r="C773" s="3" t="str">
        <v>H:Hull</v>
      </c>
      <c r="D773" s="3">
        <f>D772+1</f>
        <v>946</v>
      </c>
      <c r="E773" s="3" t="str">
        <f>CONCAT("Q","/",LEFT(Table2[[#This Row],[Quotation Type]],1),"/", LEFT(Table2[[#This Row],[Branch]],1),"/", RIGHT(YEAR(TODAY()),2), "/",Table2[[#This Row],[Seq. Number]])</f>
        <v>Q/N/H/26/946</v>
      </c>
      <c r="G773" s="3" t="str">
        <v>Bella</v>
      </c>
      <c r="I773" s="3" t="str">
        <v>GC</v>
      </c>
      <c r="J773" s="3" t="str">
        <v>GMS</v>
      </c>
    </row>
    <row r="774">
      <c r="A774" s="3">
        <v>45621</v>
      </c>
      <c r="B774" s="3" t="str">
        <v>R:Renewal</v>
      </c>
      <c r="C774" s="3" t="str">
        <v>H:Hull</v>
      </c>
      <c r="D774" s="3">
        <f>D773+1</f>
        <v>947</v>
      </c>
      <c r="E774" s="3" t="str">
        <f>CONCAT("Q","/",LEFT(Table2[[#This Row],[Quotation Type]],1),"/", LEFT(Table2[[#This Row],[Branch]],1),"/", RIGHT(YEAR(TODAY()),2), "/",Table2[[#This Row],[Seq. Number]])</f>
        <v>Q/R/H/26/947</v>
      </c>
      <c r="F774" s="3" t="str">
        <v>Princess Hiyam Shipping</v>
      </c>
      <c r="I774" s="3" t="str">
        <v>MLV</v>
      </c>
      <c r="J774" s="3" t="str">
        <v>Sarnia</v>
      </c>
    </row>
    <row r="775">
      <c r="A775" s="3">
        <v>45621</v>
      </c>
      <c r="B775" s="3" t="str">
        <v>N:New Quotation</v>
      </c>
      <c r="C775" s="3" t="str">
        <v>H:Hull</v>
      </c>
      <c r="D775" s="3">
        <f>D774+1</f>
        <v>948</v>
      </c>
      <c r="E775" s="3" t="str">
        <f>CONCAT("Q","/",LEFT(Table2[[#This Row],[Quotation Type]],1),"/", LEFT(Table2[[#This Row],[Branch]],1),"/", RIGHT(YEAR(TODAY()),2), "/",Table2[[#This Row],[Seq. Number]])</f>
        <v>Q/N/H/26/948</v>
      </c>
      <c r="G775" s="3" t="str">
        <v>Victory Ari</v>
      </c>
      <c r="I775" s="3" t="str">
        <v>O/T</v>
      </c>
      <c r="J775" s="3" t="str">
        <v>Newberry</v>
      </c>
    </row>
    <row r="776">
      <c r="A776" s="3">
        <v>45621</v>
      </c>
      <c r="B776" s="3" t="str">
        <v>N:New Quotation</v>
      </c>
      <c r="C776" s="3" t="str">
        <v>P:P&amp;I</v>
      </c>
      <c r="D776" s="3">
        <f>D775+1</f>
        <v>949</v>
      </c>
      <c r="E776" s="3" t="str">
        <f>CONCAT("Q","/",LEFT(Table2[[#This Row],[Quotation Type]],1),"/", LEFT(Table2[[#This Row],[Branch]],1),"/", RIGHT(YEAR(TODAY()),2), "/",Table2[[#This Row],[Seq. Number]])</f>
        <v>Q/N/P/26/949</v>
      </c>
      <c r="G776" s="3" t="str">
        <v>Novi</v>
      </c>
      <c r="I776" s="3" t="str">
        <v>GC</v>
      </c>
      <c r="J776" s="3" t="str">
        <v>Lockton</v>
      </c>
    </row>
    <row r="777">
      <c r="A777" s="3">
        <v>45621</v>
      </c>
      <c r="B777" s="3" t="str">
        <v>A:Addition</v>
      </c>
      <c r="C777" s="3" t="str">
        <v>P:P&amp;I</v>
      </c>
      <c r="D777" s="3">
        <f>D776+1</f>
        <v>950</v>
      </c>
      <c r="E777" s="3" t="str">
        <f>CONCAT("Q","/",LEFT(Table2[[#This Row],[Quotation Type]],1),"/", LEFT(Table2[[#This Row],[Branch]],1),"/", RIGHT(YEAR(TODAY()),2), "/",Table2[[#This Row],[Seq. Number]])</f>
        <v>Q/A/P/26/950</v>
      </c>
      <c r="F777" s="3" t="str">
        <v>Mina Group</v>
      </c>
      <c r="G777" s="3" t="str">
        <v>Falcon UA</v>
      </c>
      <c r="I777" s="3" t="str">
        <v>MLV</v>
      </c>
      <c r="J777" s="3" t="str">
        <v>Direct</v>
      </c>
    </row>
    <row r="778">
      <c r="A778" s="3">
        <v>45622</v>
      </c>
      <c r="B778" s="3" t="str">
        <v>R:Renewal</v>
      </c>
      <c r="C778" s="3" t="str">
        <v>H:Hull</v>
      </c>
      <c r="D778" s="3">
        <f>D777+1</f>
        <v>951</v>
      </c>
      <c r="E778" s="3" t="str">
        <f>CONCAT("Q","/",LEFT(Table2[[#This Row],[Quotation Type]],1),"/", LEFT(Table2[[#This Row],[Branch]],1),"/", RIGHT(YEAR(TODAY()),2), "/",Table2[[#This Row],[Seq. Number]])</f>
        <v>Q/R/H/26/951</v>
      </c>
      <c r="G778" s="3" t="str">
        <v>Prince Khaled</v>
      </c>
      <c r="I778" s="3" t="str">
        <v>GC</v>
      </c>
      <c r="J778" s="3" t="str">
        <v>Direct</v>
      </c>
    </row>
    <row r="779">
      <c r="A779" s="3">
        <v>45622</v>
      </c>
      <c r="B779" s="3" t="str">
        <v>R:Renewal</v>
      </c>
      <c r="C779" s="3" t="str">
        <v>P:P&amp;I</v>
      </c>
      <c r="D779" s="3">
        <f>D778+1</f>
        <v>952</v>
      </c>
      <c r="E779" s="3" t="str">
        <f>CONCAT("Q","/",LEFT(Table2[[#This Row],[Quotation Type]],1),"/", LEFT(Table2[[#This Row],[Branch]],1),"/", RIGHT(YEAR(TODAY()),2), "/",Table2[[#This Row],[Seq. Number]])</f>
        <v>Q/R/P/26/952</v>
      </c>
      <c r="G779" s="3" t="str">
        <v>Prince Khaled</v>
      </c>
      <c r="I779" s="3" t="str">
        <v>GC</v>
      </c>
      <c r="J779" s="3" t="str">
        <v>Direct</v>
      </c>
    </row>
    <row r="780">
      <c r="A780" s="3">
        <v>45622</v>
      </c>
      <c r="B780" s="3" t="str">
        <v>N:New Quotation</v>
      </c>
      <c r="C780" s="3" t="str">
        <v>H:Hull</v>
      </c>
      <c r="D780" s="3">
        <f>D779+1</f>
        <v>953</v>
      </c>
      <c r="E780" s="3" t="str">
        <f>CONCAT("Q","/",LEFT(Table2[[#This Row],[Quotation Type]],1),"/", LEFT(Table2[[#This Row],[Branch]],1),"/", RIGHT(YEAR(TODAY()),2), "/",Table2[[#This Row],[Seq. Number]])</f>
        <v>Q/N/H/26/953</v>
      </c>
      <c r="G780" s="3" t="str">
        <v>Blue Gold</v>
      </c>
      <c r="I780" s="3" t="str">
        <v>GC</v>
      </c>
      <c r="J780" s="3" t="str">
        <v>Mesco</v>
      </c>
    </row>
    <row r="781">
      <c r="A781" s="3">
        <v>45622</v>
      </c>
      <c r="B781" s="3" t="str">
        <v>N:New Quotation</v>
      </c>
      <c r="C781" s="3" t="str">
        <v>P:P&amp;I</v>
      </c>
      <c r="D781" s="3">
        <f>D780+1</f>
        <v>954</v>
      </c>
      <c r="E781" s="3" t="str">
        <f>CONCAT("Q","/",LEFT(Table2[[#This Row],[Quotation Type]],1),"/", LEFT(Table2[[#This Row],[Branch]],1),"/", RIGHT(YEAR(TODAY()),2), "/",Table2[[#This Row],[Seq. Number]])</f>
        <v>Q/N/P/26/954</v>
      </c>
      <c r="G781" s="3" t="str">
        <v>Blue Gold</v>
      </c>
      <c r="I781" s="3" t="str">
        <v>GC</v>
      </c>
      <c r="J781" s="3" t="str">
        <v>Mesco</v>
      </c>
    </row>
    <row r="782">
      <c r="A782" s="3">
        <v>45622</v>
      </c>
      <c r="B782" s="3" t="str">
        <v>N:New Quotation</v>
      </c>
      <c r="C782" s="3" t="str">
        <v>P:P&amp;I</v>
      </c>
      <c r="D782" s="3">
        <f>D781+1</f>
        <v>955</v>
      </c>
      <c r="E782" s="3" t="str">
        <f>CONCAT("Q","/",LEFT(Table2[[#This Row],[Quotation Type]],1),"/", LEFT(Table2[[#This Row],[Branch]],1),"/", RIGHT(YEAR(TODAY()),2), "/",Table2[[#This Row],[Seq. Number]])</f>
        <v>Q/N/P/26/955</v>
      </c>
      <c r="G782" s="3" t="str">
        <v>Haya Queen</v>
      </c>
      <c r="I782" s="3" t="str">
        <v>GC</v>
      </c>
      <c r="J782" s="3" t="str">
        <v>Direct</v>
      </c>
    </row>
    <row r="783">
      <c r="A783" s="3">
        <v>45622</v>
      </c>
      <c r="B783" s="3" t="str">
        <v>R:Renewal</v>
      </c>
      <c r="C783" s="3" t="str">
        <v>P:P&amp;I</v>
      </c>
      <c r="D783" s="3">
        <f>D782+1</f>
        <v>956</v>
      </c>
      <c r="E783" s="3" t="str">
        <f>CONCAT("Q","/",LEFT(Table2[[#This Row],[Quotation Type]],1),"/", LEFT(Table2[[#This Row],[Branch]],1),"/", RIGHT(YEAR(TODAY()),2), "/",Table2[[#This Row],[Seq. Number]])</f>
        <v>Q/R/P/26/956</v>
      </c>
      <c r="F783" s="3" t="str">
        <v>MKK Shipping</v>
      </c>
      <c r="I783" s="3" t="str">
        <v>GC</v>
      </c>
      <c r="J783" s="3" t="str">
        <v>Direct</v>
      </c>
    </row>
    <row r="784">
      <c r="A784" s="3">
        <v>45623</v>
      </c>
      <c r="B784" s="3" t="str">
        <v>A:Addition</v>
      </c>
      <c r="C784" s="3" t="str">
        <v>W:War</v>
      </c>
      <c r="D784" s="3">
        <f>D783+1</f>
        <v>957</v>
      </c>
      <c r="E784" s="3" t="str">
        <f>CONCAT("Q","/",LEFT(Table2[[#This Row],[Quotation Type]],1),"/", LEFT(Table2[[#This Row],[Branch]],1),"/", RIGHT(YEAR(TODAY()),2), "/",Table2[[#This Row],[Seq. Number]])</f>
        <v>Q/A/W/26/957</v>
      </c>
      <c r="G784" s="3" t="str">
        <v>Ullswater</v>
      </c>
      <c r="I784" s="3" t="str">
        <v>O/T</v>
      </c>
      <c r="J784" s="3" t="str">
        <v>Newberry</v>
      </c>
    </row>
    <row r="785">
      <c r="A785" s="3">
        <v>45623</v>
      </c>
      <c r="B785" s="3" t="str">
        <v>A:Addition</v>
      </c>
      <c r="C785" s="3" t="str">
        <v>W:War</v>
      </c>
      <c r="D785" s="3">
        <f>D784+1</f>
        <v>958</v>
      </c>
      <c r="E785" s="3" t="str">
        <f>CONCAT("Q","/",LEFT(Table2[[#This Row],[Quotation Type]],1),"/", LEFT(Table2[[#This Row],[Branch]],1),"/", RIGHT(YEAR(TODAY()),2), "/",Table2[[#This Row],[Seq. Number]])</f>
        <v>Q/A/W/26/958</v>
      </c>
      <c r="G785" s="3" t="str">
        <v>Serenity Gas</v>
      </c>
      <c r="I785" s="3" t="str">
        <v>O/T</v>
      </c>
      <c r="J785" s="3" t="str">
        <v>Newberry</v>
      </c>
    </row>
    <row r="786">
      <c r="A786" s="3">
        <v>45623</v>
      </c>
      <c r="B786" s="3" t="str">
        <v>N:New Quotation</v>
      </c>
      <c r="C786" s="3" t="str">
        <v>W:War</v>
      </c>
      <c r="D786" s="3">
        <f>D785+1</f>
        <v>959</v>
      </c>
      <c r="E786" s="3" t="str">
        <f>CONCAT("Q","/",LEFT(Table2[[#This Row],[Quotation Type]],1),"/", LEFT(Table2[[#This Row],[Branch]],1),"/", RIGHT(YEAR(TODAY()),2), "/",Table2[[#This Row],[Seq. Number]])</f>
        <v>Q/N/W/26/959</v>
      </c>
      <c r="G786" s="3" t="str">
        <v>Victory Ari</v>
      </c>
      <c r="I786" s="3" t="str">
        <v>O/T</v>
      </c>
      <c r="J786" s="3" t="str">
        <v>Newberry</v>
      </c>
    </row>
    <row r="787">
      <c r="A787" s="3">
        <v>45623</v>
      </c>
      <c r="B787" s="3" t="str">
        <v>N:New Quotation</v>
      </c>
      <c r="C787" s="3" t="str">
        <v>P:P&amp;I</v>
      </c>
      <c r="D787" s="3">
        <f>D786+1</f>
        <v>960</v>
      </c>
      <c r="E787" s="3" t="str">
        <f>CONCAT("Q","/",LEFT(Table2[[#This Row],[Quotation Type]],1),"/", LEFT(Table2[[#This Row],[Branch]],1),"/", RIGHT(YEAR(TODAY()),2), "/",Table2[[#This Row],[Seq. Number]])</f>
        <v>Q/N/P/26/960</v>
      </c>
      <c r="G787" s="3" t="str">
        <v>MR Trader</v>
      </c>
      <c r="I787" s="3" t="str">
        <v>BC</v>
      </c>
      <c r="J787" s="3" t="str">
        <v>Brandenburg</v>
      </c>
    </row>
    <row r="788">
      <c r="A788" s="3">
        <v>45630</v>
      </c>
      <c r="B788" s="3" t="str">
        <v>N:New Quotation</v>
      </c>
      <c r="C788" s="3" t="str">
        <v>P:P&amp;I</v>
      </c>
      <c r="D788" s="3">
        <f>D787+1</f>
        <v>961</v>
      </c>
      <c r="E788" s="3" t="str">
        <f>CONCAT("Q","/",LEFT(Table2[[#This Row],[Quotation Type]],1),"/", LEFT(Table2[[#This Row],[Branch]],1),"/", RIGHT(YEAR(TODAY()),2), "/",Table2[[#This Row],[Seq. Number]])</f>
        <v>Q/N/P/26/961</v>
      </c>
      <c r="F788" s="3" t="str">
        <v>AJK Marine</v>
      </c>
      <c r="I788" s="3" t="str">
        <v>GC</v>
      </c>
      <c r="J788" s="3" t="str">
        <v>Direct</v>
      </c>
    </row>
    <row r="789">
      <c r="A789" s="3">
        <v>45631</v>
      </c>
      <c r="B789" s="3" t="str">
        <v>A:Addition</v>
      </c>
      <c r="C789" s="3" t="str">
        <v>H:Hull</v>
      </c>
      <c r="D789" s="3">
        <f>D788+1</f>
        <v>962</v>
      </c>
      <c r="E789" s="3" t="str">
        <f>CONCAT("Q","/",LEFT(Table2[[#This Row],[Quotation Type]],1),"/", LEFT(Table2[[#This Row],[Branch]],1),"/", RIGHT(YEAR(TODAY()),2), "/",Table2[[#This Row],[Seq. Number]])</f>
        <v>Q/A/H/26/962</v>
      </c>
      <c r="G789" s="3" t="str">
        <v>St. Cudi</v>
      </c>
      <c r="I789" s="3" t="str">
        <v>O/T</v>
      </c>
      <c r="J789" s="3" t="str">
        <v>SSS</v>
      </c>
    </row>
    <row r="790">
      <c r="A790" s="3">
        <v>45631</v>
      </c>
      <c r="B790" s="3" t="str">
        <v>R:Renewal</v>
      </c>
      <c r="C790" s="3" t="str">
        <v>H:Hull</v>
      </c>
      <c r="D790" s="3">
        <f>D789+1</f>
        <v>963</v>
      </c>
      <c r="E790" s="3" t="str">
        <f>CONCAT("Q","/",LEFT(Table2[[#This Row],[Quotation Type]],1),"/", LEFT(Table2[[#This Row],[Branch]],1),"/", RIGHT(YEAR(TODAY()),2), "/",Table2[[#This Row],[Seq. Number]])</f>
        <v>Q/R/H/26/963</v>
      </c>
      <c r="G790" s="3" t="str">
        <v>Zamzam A</v>
      </c>
      <c r="I790" s="3" t="str">
        <v>GC</v>
      </c>
      <c r="J790" s="3" t="str">
        <v>Brandenburg</v>
      </c>
    </row>
    <row r="791">
      <c r="A791" s="3">
        <v>45632</v>
      </c>
      <c r="B791" s="3" t="str">
        <v>R:Renewal</v>
      </c>
      <c r="C791" s="3" t="str">
        <v>H:Hull</v>
      </c>
      <c r="D791" s="3">
        <f>D790+1</f>
        <v>964</v>
      </c>
      <c r="E791" s="3" t="str">
        <f>CONCAT("Q","/",LEFT(Table2[[#This Row],[Quotation Type]],1),"/", LEFT(Table2[[#This Row],[Branch]],1),"/", RIGHT(YEAR(TODAY()),2), "/",Table2[[#This Row],[Seq. Number]])</f>
        <v>Q/R/H/26/964</v>
      </c>
      <c r="G791" s="3" t="str">
        <v>Bashar One Transport</v>
      </c>
      <c r="I791" s="3" t="str">
        <v>MLV</v>
      </c>
      <c r="J791" s="3" t="str">
        <v>Direct</v>
      </c>
    </row>
    <row r="792">
      <c r="A792" s="3">
        <v>45632</v>
      </c>
      <c r="B792" s="3" t="str">
        <v>R:Renewal</v>
      </c>
      <c r="C792" s="3" t="str">
        <v>P:P&amp;I</v>
      </c>
      <c r="D792" s="3">
        <f>D791+1</f>
        <v>965</v>
      </c>
      <c r="E792" s="3" t="str">
        <f>CONCAT("Q","/",LEFT(Table2[[#This Row],[Quotation Type]],1),"/", LEFT(Table2[[#This Row],[Branch]],1),"/", RIGHT(YEAR(TODAY()),2), "/",Table2[[#This Row],[Seq. Number]])</f>
        <v>Q/R/P/26/965</v>
      </c>
      <c r="G792" s="3" t="str">
        <v>Bashar One Transport</v>
      </c>
      <c r="I792" s="3" t="str">
        <v>MLV</v>
      </c>
      <c r="J792" s="3" t="str">
        <v>Direct</v>
      </c>
    </row>
    <row r="793">
      <c r="A793" s="3">
        <v>45632</v>
      </c>
      <c r="B793" s="3" t="str">
        <v>R:Renewal</v>
      </c>
      <c r="C793" s="3" t="str">
        <v>P:P&amp;I</v>
      </c>
      <c r="D793" s="3">
        <f>D792+1</f>
        <v>966</v>
      </c>
      <c r="E793" s="3" t="str">
        <f>CONCAT("Q","/",LEFT(Table2[[#This Row],[Quotation Type]],1),"/", LEFT(Table2[[#This Row],[Branch]],1),"/", RIGHT(YEAR(TODAY()),2), "/",Table2[[#This Row],[Seq. Number]])</f>
        <v>Q/R/P/26/966</v>
      </c>
      <c r="G793" s="3" t="str">
        <v>Star Light</v>
      </c>
      <c r="I793" s="3" t="str">
        <v>GC</v>
      </c>
      <c r="J793" s="3" t="str">
        <v>Observator</v>
      </c>
    </row>
    <row r="794">
      <c r="A794" s="3">
        <v>45632</v>
      </c>
      <c r="B794" s="3" t="str">
        <v>R:Renewal</v>
      </c>
      <c r="C794" s="3" t="str">
        <v>P:P&amp;I</v>
      </c>
      <c r="D794" s="3">
        <f>D793+1</f>
        <v>967</v>
      </c>
      <c r="E794" s="3" t="str">
        <f>CONCAT("Q","/",LEFT(Table2[[#This Row],[Quotation Type]],1),"/", LEFT(Table2[[#This Row],[Branch]],1),"/", RIGHT(YEAR(TODAY()),2), "/",Table2[[#This Row],[Seq. Number]])</f>
        <v>Q/R/P/26/967</v>
      </c>
      <c r="G794" s="3" t="str">
        <v>VPC Express</v>
      </c>
      <c r="I794" s="3" t="str">
        <v>GC</v>
      </c>
      <c r="J794" s="3" t="str">
        <v>Observator</v>
      </c>
    </row>
    <row r="795">
      <c r="A795" s="3">
        <v>45632</v>
      </c>
      <c r="B795" s="3" t="str">
        <v>A:Addition</v>
      </c>
      <c r="C795" s="3" t="str">
        <v>H:Hull</v>
      </c>
      <c r="D795" s="3">
        <f>D794+1</f>
        <v>968</v>
      </c>
      <c r="E795" s="3" t="str">
        <f>CONCAT("Q","/",LEFT(Table2[[#This Row],[Quotation Type]],1),"/", LEFT(Table2[[#This Row],[Branch]],1),"/", RIGHT(YEAR(TODAY()),2), "/",Table2[[#This Row],[Seq. Number]])</f>
        <v>Q/A/H/26/968</v>
      </c>
      <c r="G795" s="3" t="str">
        <v>Natali</v>
      </c>
      <c r="I795" s="3" t="str">
        <v>GC</v>
      </c>
      <c r="J795" s="3" t="str">
        <v>Alfamarine</v>
      </c>
    </row>
    <row r="796">
      <c r="A796" s="3">
        <v>45636</v>
      </c>
      <c r="B796" s="3" t="str">
        <v>R:Renewal</v>
      </c>
      <c r="C796" s="3" t="str">
        <v>H:Hull</v>
      </c>
      <c r="D796" s="3">
        <f>D795+1</f>
        <v>969</v>
      </c>
      <c r="E796" s="3" t="str">
        <f>CONCAT("Q","/",LEFT(Table2[[#This Row],[Quotation Type]],1),"/", LEFT(Table2[[#This Row],[Branch]],1),"/", RIGHT(YEAR(TODAY()),2), "/",Table2[[#This Row],[Seq. Number]])</f>
        <v>Q/R/H/26/969</v>
      </c>
      <c r="F796" s="3" t="str">
        <v>Mykonos Lines</v>
      </c>
      <c r="I796" s="3" t="str">
        <v>GC</v>
      </c>
      <c r="J796" s="3" t="str">
        <v>Velos</v>
      </c>
    </row>
    <row r="797">
      <c r="A797" s="3">
        <v>45637</v>
      </c>
      <c r="B797" s="3" t="str">
        <v>A:Addition</v>
      </c>
      <c r="C797" s="3" t="str">
        <v>H:Hull</v>
      </c>
      <c r="D797" s="3">
        <f>D796+1</f>
        <v>970</v>
      </c>
      <c r="E797" s="3" t="str">
        <f>CONCAT("Q","/",LEFT(Table2[[#This Row],[Quotation Type]],1),"/", LEFT(Table2[[#This Row],[Branch]],1),"/", RIGHT(YEAR(TODAY()),2), "/",Table2[[#This Row],[Seq. Number]])</f>
        <v>Q/A/H/26/970</v>
      </c>
      <c r="F797" s="3" t="str">
        <v>Mina Group</v>
      </c>
      <c r="G797" s="3" t="str">
        <v>Falcon UA</v>
      </c>
      <c r="I797" s="3" t="str">
        <v>MLV</v>
      </c>
      <c r="J797" s="3" t="str">
        <v>Direct</v>
      </c>
    </row>
    <row r="798">
      <c r="A798" s="3">
        <v>45637</v>
      </c>
      <c r="B798" s="3" t="str">
        <v>R:Renewal</v>
      </c>
      <c r="C798" s="3" t="str">
        <v>P:P&amp;I</v>
      </c>
      <c r="D798" s="3">
        <f>D797+1</f>
        <v>971</v>
      </c>
      <c r="E798" s="3" t="str">
        <f>CONCAT("Q","/",LEFT(Table2[[#This Row],[Quotation Type]],1),"/", LEFT(Table2[[#This Row],[Branch]],1),"/", RIGHT(YEAR(TODAY()),2), "/",Table2[[#This Row],[Seq. Number]])</f>
        <v>Q/R/P/26/971</v>
      </c>
      <c r="F798" s="3" t="str">
        <v>Mina Group</v>
      </c>
      <c r="G798" s="3" t="str">
        <v>Maysa</v>
      </c>
      <c r="I798" s="3" t="str">
        <v>MLV</v>
      </c>
      <c r="J798" s="3" t="str">
        <v>Direct</v>
      </c>
    </row>
    <row r="799">
      <c r="A799" s="3">
        <v>45637</v>
      </c>
      <c r="B799" s="3" t="str">
        <v>R:Renewal</v>
      </c>
      <c r="C799" s="3" t="str">
        <v>P:P&amp;I</v>
      </c>
      <c r="D799" s="3">
        <f>D798+1</f>
        <v>972</v>
      </c>
      <c r="E799" s="3" t="str">
        <f>CONCAT("Q","/",LEFT(Table2[[#This Row],[Quotation Type]],1),"/", LEFT(Table2[[#This Row],[Branch]],1),"/", RIGHT(YEAR(TODAY()),2), "/",Table2[[#This Row],[Seq. Number]])</f>
        <v>Q/R/P/26/972</v>
      </c>
      <c r="G799" s="3" t="str">
        <v>Anubis</v>
      </c>
      <c r="I799" s="3" t="str">
        <v>GC</v>
      </c>
      <c r="J799" s="3" t="str">
        <v>Kuzey</v>
      </c>
    </row>
    <row r="800">
      <c r="A800" s="3">
        <v>45639</v>
      </c>
      <c r="B800" s="3" t="str">
        <v>N:New Quotation</v>
      </c>
      <c r="C800" s="3" t="str">
        <v>H:Hull</v>
      </c>
      <c r="D800" s="3">
        <f>D799+1</f>
        <v>973</v>
      </c>
      <c r="E800" s="3" t="str">
        <f>CONCAT("Q","/",LEFT(Table2[[#This Row],[Quotation Type]],1),"/", LEFT(Table2[[#This Row],[Branch]],1),"/", RIGHT(YEAR(TODAY()),2), "/",Table2[[#This Row],[Seq. Number]])</f>
        <v>Q/N/H/26/973</v>
      </c>
      <c r="G800" s="3" t="str">
        <v>Ianthe</v>
      </c>
      <c r="I800" s="3" t="str">
        <v>O/T</v>
      </c>
      <c r="J800" s="3" t="str">
        <v>City</v>
      </c>
    </row>
    <row r="801">
      <c r="A801" s="3">
        <v>45639</v>
      </c>
      <c r="B801" s="3" t="str">
        <v>N:New Quotation</v>
      </c>
      <c r="C801" s="3" t="str">
        <v>H:Hull</v>
      </c>
      <c r="D801" s="3">
        <f>D800+1</f>
        <v>974</v>
      </c>
      <c r="E801" s="3" t="str">
        <f>CONCAT("Q","/",LEFT(Table2[[#This Row],[Quotation Type]],1),"/", LEFT(Table2[[#This Row],[Branch]],1),"/", RIGHT(YEAR(TODAY()),2), "/",Table2[[#This Row],[Seq. Number]])</f>
        <v>Q/N/H/26/974</v>
      </c>
      <c r="G801" s="3" t="str">
        <v>Falcon</v>
      </c>
      <c r="I801" s="3" t="str">
        <v>O/T</v>
      </c>
      <c r="J801" s="3" t="str">
        <v>City</v>
      </c>
    </row>
    <row r="802">
      <c r="A802" s="3">
        <v>45642</v>
      </c>
      <c r="B802" s="3" t="str">
        <v>N:New Quotation</v>
      </c>
      <c r="C802" s="3" t="str">
        <v>P:P&amp;I</v>
      </c>
      <c r="D802" s="3">
        <f>D801+1</f>
        <v>975</v>
      </c>
      <c r="E802" s="3" t="str">
        <f>CONCAT("Q","/",LEFT(Table2[[#This Row],[Quotation Type]],1),"/", LEFT(Table2[[#This Row],[Branch]],1),"/", RIGHT(YEAR(TODAY()),2), "/",Table2[[#This Row],[Seq. Number]])</f>
        <v>Q/N/P/26/975</v>
      </c>
      <c r="G802" s="3" t="str">
        <v>Karam 14</v>
      </c>
      <c r="I802" s="3" t="str">
        <v>BC</v>
      </c>
      <c r="J802" s="3" t="str">
        <v>Mesco</v>
      </c>
    </row>
    <row r="803">
      <c r="A803" s="3">
        <v>45643</v>
      </c>
      <c r="B803" s="3" t="str">
        <v>N:New Quotation</v>
      </c>
      <c r="C803" s="3" t="str">
        <v>H:Hull</v>
      </c>
      <c r="D803" s="3">
        <f>D802+1</f>
        <v>976</v>
      </c>
      <c r="E803" s="3" t="str">
        <f>CONCAT("Q","/",LEFT(Table2[[#This Row],[Quotation Type]],1),"/", LEFT(Table2[[#This Row],[Branch]],1),"/", RIGHT(YEAR(TODAY()),2), "/",Table2[[#This Row],[Seq. Number]])</f>
        <v>Q/N/H/26/976</v>
      </c>
      <c r="G803" s="3" t="str">
        <v>Waterloo</v>
      </c>
      <c r="I803" s="3" t="str">
        <v>C/T</v>
      </c>
      <c r="J803" s="3" t="str">
        <v>IPIC</v>
      </c>
    </row>
    <row r="804">
      <c r="A804" s="3">
        <v>45644</v>
      </c>
      <c r="B804" s="3" t="str">
        <v>A:Addition</v>
      </c>
      <c r="C804" s="3" t="str">
        <v>H:Hull</v>
      </c>
      <c r="D804" s="3">
        <f>D803+1</f>
        <v>977</v>
      </c>
      <c r="E804" s="3" t="str">
        <f>CONCAT("Q","/",LEFT(Table2[[#This Row],[Quotation Type]],1),"/", LEFT(Table2[[#This Row],[Branch]],1),"/", RIGHT(YEAR(TODAY()),2), "/",Table2[[#This Row],[Seq. Number]])</f>
        <v>Q/A/H/26/977</v>
      </c>
      <c r="G804" s="3" t="str">
        <v>Haya Queen</v>
      </c>
      <c r="I804" s="3" t="str">
        <v>GC</v>
      </c>
      <c r="J804" s="3" t="str">
        <v>Direct</v>
      </c>
    </row>
    <row r="805">
      <c r="A805" s="3">
        <v>45645</v>
      </c>
      <c r="B805" s="3" t="str">
        <v>R:Renewal</v>
      </c>
      <c r="C805" s="3" t="str">
        <v>H:Hull</v>
      </c>
      <c r="D805" s="3">
        <f>D804+1</f>
        <v>978</v>
      </c>
      <c r="E805" s="3" t="str">
        <f>CONCAT("Q","/",LEFT(Table2[[#This Row],[Quotation Type]],1),"/", LEFT(Table2[[#This Row],[Branch]],1),"/", RIGHT(YEAR(TODAY()),2), "/",Table2[[#This Row],[Seq. Number]])</f>
        <v>Q/R/H/26/978</v>
      </c>
      <c r="G805" s="3" t="str">
        <v>Hassan-Y</v>
      </c>
      <c r="I805" s="3" t="str">
        <v>GC</v>
      </c>
      <c r="J805" s="3" t="str">
        <v>Direct</v>
      </c>
    </row>
    <row r="806">
      <c r="A806" s="3">
        <v>45645</v>
      </c>
      <c r="B806" s="3" t="str">
        <v>R:Renewal</v>
      </c>
      <c r="C806" s="3" t="str">
        <v>P:P&amp;I</v>
      </c>
      <c r="D806" s="3">
        <f>D805+1</f>
        <v>979</v>
      </c>
      <c r="E806" s="3" t="str">
        <f>CONCAT("Q","/",LEFT(Table2[[#This Row],[Quotation Type]],1),"/", LEFT(Table2[[#This Row],[Branch]],1),"/", RIGHT(YEAR(TODAY()),2), "/",Table2[[#This Row],[Seq. Number]])</f>
        <v>Q/R/P/26/979</v>
      </c>
      <c r="G806" s="3" t="str">
        <v>Hassan-Y</v>
      </c>
      <c r="I806" s="3" t="str">
        <v>GC</v>
      </c>
      <c r="J806" s="3" t="str">
        <v>Direct</v>
      </c>
    </row>
    <row r="807">
      <c r="A807" s="3">
        <v>45645</v>
      </c>
      <c r="B807" s="3" t="str">
        <v>R:Renewal</v>
      </c>
      <c r="C807" s="3" t="str">
        <v>P:P&amp;I</v>
      </c>
      <c r="D807" s="3">
        <f>D806+1</f>
        <v>980</v>
      </c>
      <c r="E807" s="3" t="str">
        <f>CONCAT("Q","/",LEFT(Table2[[#This Row],[Quotation Type]],1),"/", LEFT(Table2[[#This Row],[Branch]],1),"/", RIGHT(YEAR(TODAY()),2), "/",Table2[[#This Row],[Seq. Number]])</f>
        <v>Q/R/P/26/980</v>
      </c>
      <c r="G807" s="3" t="str">
        <v>Zeko-Y</v>
      </c>
      <c r="I807" s="3" t="str">
        <v>GC</v>
      </c>
      <c r="J807" s="3" t="str">
        <v>Direct</v>
      </c>
    </row>
    <row r="808">
      <c r="A808" s="3">
        <v>45645</v>
      </c>
      <c r="B808" s="3" t="str">
        <v>R:Renewal</v>
      </c>
      <c r="C808" s="3" t="str">
        <v>P:P&amp;I</v>
      </c>
      <c r="D808" s="3">
        <f>D807+1</f>
        <v>981</v>
      </c>
      <c r="E808" s="3" t="str">
        <f>CONCAT("Q","/",LEFT(Table2[[#This Row],[Quotation Type]],1),"/", LEFT(Table2[[#This Row],[Branch]],1),"/", RIGHT(YEAR(TODAY()),2), "/",Table2[[#This Row],[Seq. Number]])</f>
        <v>Q/R/P/26/981</v>
      </c>
      <c r="G808" s="3" t="str">
        <v>Roz-Y</v>
      </c>
      <c r="I808" s="3" t="str">
        <v>GC</v>
      </c>
      <c r="J808" s="3" t="str">
        <v>Direct</v>
      </c>
    </row>
    <row r="809">
      <c r="A809" s="3">
        <v>45645</v>
      </c>
      <c r="B809" s="3" t="str">
        <v>R:Renewal</v>
      </c>
      <c r="C809" s="3" t="str">
        <v>P:P&amp;I</v>
      </c>
      <c r="D809" s="3">
        <f>D808+1</f>
        <v>982</v>
      </c>
      <c r="E809" s="3" t="str">
        <f>CONCAT("Q","/",LEFT(Table2[[#This Row],[Quotation Type]],1),"/", LEFT(Table2[[#This Row],[Branch]],1),"/", RIGHT(YEAR(TODAY()),2), "/",Table2[[#This Row],[Seq. Number]])</f>
        <v>Q/R/P/26/982</v>
      </c>
      <c r="G809" s="3" t="str">
        <v>Kubrosli-Y</v>
      </c>
      <c r="I809" s="3" t="str">
        <v>GC</v>
      </c>
      <c r="J809" s="3" t="str">
        <v>Direct</v>
      </c>
    </row>
    <row r="810">
      <c r="A810" s="3">
        <v>45645</v>
      </c>
      <c r="B810" s="3" t="str">
        <v>R:Renewal</v>
      </c>
      <c r="C810" s="3" t="str">
        <v>H:Hull</v>
      </c>
      <c r="D810" s="3">
        <f>D809+1</f>
        <v>983</v>
      </c>
      <c r="E810" s="3" t="str">
        <f>CONCAT("Q","/",LEFT(Table2[[#This Row],[Quotation Type]],1),"/", LEFT(Table2[[#This Row],[Branch]],1),"/", RIGHT(YEAR(TODAY()),2), "/",Table2[[#This Row],[Seq. Number]])</f>
        <v>Q/R/H/26/983</v>
      </c>
      <c r="G810" s="3" t="str">
        <v>MF Breeze</v>
      </c>
      <c r="I810" s="3" t="str">
        <v>GC</v>
      </c>
      <c r="J810" s="3" t="str">
        <v>Direct</v>
      </c>
    </row>
    <row r="811">
      <c r="A811" s="3">
        <v>45645</v>
      </c>
      <c r="B811" s="3" t="str">
        <v>R:Renewal</v>
      </c>
      <c r="C811" s="3" t="str">
        <v>P:P&amp;I</v>
      </c>
      <c r="D811" s="3">
        <f>D810+1</f>
        <v>984</v>
      </c>
      <c r="E811" s="3" t="str">
        <f>CONCAT("Q","/",LEFT(Table2[[#This Row],[Quotation Type]],1),"/", LEFT(Table2[[#This Row],[Branch]],1),"/", RIGHT(YEAR(TODAY()),2), "/",Table2[[#This Row],[Seq. Number]])</f>
        <v>Q/R/P/26/984</v>
      </c>
      <c r="G811" s="3" t="str">
        <v>MF Breeze</v>
      </c>
      <c r="I811" s="3" t="str">
        <v>GC</v>
      </c>
      <c r="J811" s="3" t="str">
        <v>Direct</v>
      </c>
    </row>
    <row r="812">
      <c r="A812" s="3">
        <v>45645</v>
      </c>
      <c r="B812" s="3" t="str">
        <v>R:Renewal</v>
      </c>
      <c r="C812" s="3" t="str">
        <v>P:P&amp;I</v>
      </c>
      <c r="D812" s="3">
        <f>D811+1</f>
        <v>985</v>
      </c>
      <c r="E812" s="3" t="str">
        <f>CONCAT("Q","/",LEFT(Table2[[#This Row],[Quotation Type]],1),"/", LEFT(Table2[[#This Row],[Branch]],1),"/", RIGHT(YEAR(TODAY()),2), "/",Table2[[#This Row],[Seq. Number]])</f>
        <v>Q/R/P/26/985</v>
      </c>
      <c r="G812" s="3" t="str">
        <v>Mohamad-Y</v>
      </c>
      <c r="I812" s="3" t="str">
        <v>GC</v>
      </c>
      <c r="J812" s="3" t="str">
        <v>Direct</v>
      </c>
    </row>
    <row r="813">
      <c r="A813" s="3">
        <v>45645</v>
      </c>
      <c r="B813" s="3" t="str">
        <v>R:Renewal</v>
      </c>
      <c r="C813" s="3" t="str">
        <v>P:P&amp;I</v>
      </c>
      <c r="D813" s="3">
        <f>D812+1</f>
        <v>986</v>
      </c>
      <c r="E813" s="3" t="str">
        <f>CONCAT("Q","/",LEFT(Table2[[#This Row],[Quotation Type]],1),"/", LEFT(Table2[[#This Row],[Branch]],1),"/", RIGHT(YEAR(TODAY()),2), "/",Table2[[#This Row],[Seq. Number]])</f>
        <v>Q/R/P/26/986</v>
      </c>
      <c r="G813" s="3" t="str">
        <v>Moayad Y</v>
      </c>
      <c r="I813" s="3" t="str">
        <v>GC</v>
      </c>
      <c r="J813" s="3" t="str">
        <v>Direct</v>
      </c>
    </row>
    <row r="814">
      <c r="A814" s="3">
        <v>45645</v>
      </c>
      <c r="B814" s="3" t="str">
        <v>R:Renewal</v>
      </c>
      <c r="C814" s="3" t="str">
        <v>H:Hull</v>
      </c>
      <c r="D814" s="3">
        <f>D813+1</f>
        <v>987</v>
      </c>
      <c r="E814" s="3" t="str">
        <f>CONCAT("Q","/",LEFT(Table2[[#This Row],[Quotation Type]],1),"/", LEFT(Table2[[#This Row],[Branch]],1),"/", RIGHT(YEAR(TODAY()),2), "/",Table2[[#This Row],[Seq. Number]])</f>
        <v>Q/R/H/26/987</v>
      </c>
      <c r="G814" s="3" t="str">
        <v>Moayad Y</v>
      </c>
      <c r="I814" s="3" t="str">
        <v>GC</v>
      </c>
      <c r="J814" s="3" t="str">
        <v>Direct</v>
      </c>
    </row>
    <row r="815">
      <c r="A815" s="3">
        <v>45645</v>
      </c>
      <c r="B815" s="3" t="str">
        <v>A:Addition</v>
      </c>
      <c r="C815" s="3" t="str">
        <v>P:P&amp;I</v>
      </c>
      <c r="D815" s="3">
        <f>D814+1</f>
        <v>988</v>
      </c>
      <c r="E815" s="3" t="str">
        <f>CONCAT("Q","/",LEFT(Table2[[#This Row],[Quotation Type]],1),"/", LEFT(Table2[[#This Row],[Branch]],1),"/", RIGHT(YEAR(TODAY()),2), "/",Table2[[#This Row],[Seq. Number]])</f>
        <v>Q/A/P/26/988</v>
      </c>
      <c r="G815" s="3" t="str">
        <v>Alfa Livestock</v>
      </c>
      <c r="I815" s="3" t="str">
        <v>MLV</v>
      </c>
      <c r="J815" s="3" t="str">
        <v>Observator</v>
      </c>
    </row>
    <row r="816">
      <c r="A816" s="3">
        <v>45649</v>
      </c>
      <c r="B816" s="3" t="str">
        <v>R:Renewal</v>
      </c>
      <c r="C816" s="3" t="str">
        <v>P:P&amp;I</v>
      </c>
      <c r="D816" s="3">
        <f>D815+1</f>
        <v>989</v>
      </c>
      <c r="E816" s="3" t="str">
        <f>CONCAT("Q","/",LEFT(Table2[[#This Row],[Quotation Type]],1),"/", LEFT(Table2[[#This Row],[Branch]],1),"/", RIGHT(YEAR(TODAY()),2), "/",Table2[[#This Row],[Seq. Number]])</f>
        <v>Q/R/P/26/989</v>
      </c>
      <c r="G816" s="3" t="str">
        <v>Hamid S</v>
      </c>
      <c r="I816" s="3" t="str">
        <v>GC</v>
      </c>
      <c r="J816" s="3" t="str">
        <v>Direct</v>
      </c>
    </row>
    <row r="817">
      <c r="A817" s="3">
        <v>45650</v>
      </c>
      <c r="B817" s="3" t="str">
        <v>R:Renewal</v>
      </c>
      <c r="C817" s="3" t="str">
        <v>H:Hull</v>
      </c>
      <c r="D817" s="3">
        <f>D816+1</f>
        <v>990</v>
      </c>
      <c r="E817" s="3" t="str">
        <f>CONCAT("Q","/",LEFT(Table2[[#This Row],[Quotation Type]],1),"/", LEFT(Table2[[#This Row],[Branch]],1),"/", RIGHT(YEAR(TODAY()),2), "/",Table2[[#This Row],[Seq. Number]])</f>
        <v>Q/R/H/26/990</v>
      </c>
      <c r="G817" s="3" t="str">
        <v>Simas</v>
      </c>
      <c r="I817" s="3" t="str">
        <v>GC</v>
      </c>
      <c r="J817" s="3" t="str">
        <v>Kuzey</v>
      </c>
    </row>
    <row r="818">
      <c r="A818" s="3">
        <v>45650</v>
      </c>
      <c r="B818" s="3" t="str">
        <v>N:New Quotation</v>
      </c>
      <c r="C818" s="3" t="str">
        <v>P:P&amp;I</v>
      </c>
      <c r="D818" s="3">
        <f>D817+1</f>
        <v>991</v>
      </c>
      <c r="E818" s="3" t="str">
        <f>CONCAT("Q","/",LEFT(Table2[[#This Row],[Quotation Type]],1),"/", LEFT(Table2[[#This Row],[Branch]],1),"/", RIGHT(YEAR(TODAY()),2), "/",Table2[[#This Row],[Seq. Number]])</f>
        <v>Q/N/P/26/991</v>
      </c>
      <c r="G818" s="3" t="str">
        <v>Captain Omar</v>
      </c>
      <c r="I818" s="3" t="str">
        <v>GC</v>
      </c>
      <c r="J818" s="3" t="str">
        <v>Direct</v>
      </c>
    </row>
    <row r="819">
      <c r="A819" s="3">
        <v>45652</v>
      </c>
      <c r="B819" s="3" t="str">
        <v>R:Renewal</v>
      </c>
      <c r="C819" s="3" t="str">
        <v>P:P&amp;I</v>
      </c>
      <c r="D819" s="3">
        <f>D818+1</f>
        <v>992</v>
      </c>
      <c r="E819" s="3" t="str">
        <f>CONCAT("Q","/",LEFT(Table2[[#This Row],[Quotation Type]],1),"/", LEFT(Table2[[#This Row],[Branch]],1),"/", RIGHT(YEAR(TODAY()),2), "/",Table2[[#This Row],[Seq. Number]])</f>
        <v>Q/R/P/26/992</v>
      </c>
      <c r="G819" s="3" t="str">
        <v>Amo Grande</v>
      </c>
      <c r="I819" s="3" t="str">
        <v>GC</v>
      </c>
      <c r="J819" s="3" t="str">
        <v>Kuzey</v>
      </c>
    </row>
    <row r="820">
      <c r="A820" s="3">
        <v>45653</v>
      </c>
      <c r="B820" s="3" t="str">
        <v>N:New Quotation</v>
      </c>
      <c r="C820" s="3" t="str">
        <v>P:P&amp;I</v>
      </c>
      <c r="D820" s="3">
        <f>D819+1</f>
        <v>993</v>
      </c>
      <c r="E820" s="3" t="str">
        <f>CONCAT("Q","/",LEFT(Table2[[#This Row],[Quotation Type]],1),"/", LEFT(Table2[[#This Row],[Branch]],1),"/", RIGHT(YEAR(TODAY()),2), "/",Table2[[#This Row],[Seq. Number]])</f>
        <v>Q/N/P/26/993</v>
      </c>
      <c r="G820" s="3" t="str">
        <v>Diamond</v>
      </c>
      <c r="I820" s="3" t="str">
        <v>GC</v>
      </c>
      <c r="J820" s="3" t="str">
        <v>Brandenburg</v>
      </c>
    </row>
    <row r="821">
      <c r="A821" s="3">
        <v>45653</v>
      </c>
      <c r="B821" s="3" t="str">
        <v>R:Renewal</v>
      </c>
      <c r="C821" s="3" t="str">
        <v>H:Hull</v>
      </c>
      <c r="D821" s="3">
        <f>D820+1</f>
        <v>994</v>
      </c>
      <c r="E821" s="3" t="str">
        <f>CONCAT("Q","/",LEFT(Table2[[#This Row],[Quotation Type]],1),"/", LEFT(Table2[[#This Row],[Branch]],1),"/", RIGHT(YEAR(TODAY()),2), "/",Table2[[#This Row],[Seq. Number]])</f>
        <v>Q/R/H/26/994</v>
      </c>
      <c r="G821" s="3" t="str">
        <v>Lady Joy</v>
      </c>
      <c r="I821" s="3" t="str">
        <v>GC</v>
      </c>
      <c r="J821" s="3" t="str">
        <v>SSS</v>
      </c>
    </row>
    <row r="822">
      <c r="A822" s="3">
        <v>45653</v>
      </c>
      <c r="B822" s="3" t="str">
        <v>R:Renewal</v>
      </c>
      <c r="C822" s="3" t="str">
        <v>H:Hull</v>
      </c>
      <c r="D822" s="3">
        <f>D821+1</f>
        <v>995</v>
      </c>
      <c r="E822" s="3" t="str">
        <f>CONCAT("Q","/",LEFT(Table2[[#This Row],[Quotation Type]],1),"/", LEFT(Table2[[#This Row],[Branch]],1),"/", RIGHT(YEAR(TODAY()),2), "/",Table2[[#This Row],[Seq. Number]])</f>
        <v>Q/R/H/26/995</v>
      </c>
      <c r="G822" s="3" t="str">
        <v>MN Kostas</v>
      </c>
      <c r="I822" s="3" t="str">
        <v>GC</v>
      </c>
      <c r="J822" s="3" t="str">
        <v>SSS</v>
      </c>
    </row>
    <row r="823">
      <c r="A823" s="3">
        <v>45656</v>
      </c>
      <c r="B823" s="3" t="str">
        <v>N:New Quotation</v>
      </c>
      <c r="C823" s="3" t="str">
        <v>F:FD&amp;D</v>
      </c>
      <c r="D823" s="3">
        <f>D822+1</f>
        <v>996</v>
      </c>
      <c r="E823" s="3" t="str">
        <f>CONCAT("Q","/",LEFT(Table2[[#This Row],[Quotation Type]],1),"/", LEFT(Table2[[#This Row],[Branch]],1),"/", RIGHT(YEAR(TODAY()),2), "/",Table2[[#This Row],[Seq. Number]])</f>
        <v>Q/N/F/26/996</v>
      </c>
      <c r="G823" s="3" t="str">
        <v>Diamond</v>
      </c>
      <c r="I823" s="3" t="str">
        <v>GC</v>
      </c>
      <c r="J823" s="3" t="str">
        <v>Brandenburg</v>
      </c>
    </row>
    <row r="824">
      <c r="A824" s="3">
        <v>45656</v>
      </c>
      <c r="B824" s="3" t="str">
        <v>R:Renewal</v>
      </c>
      <c r="C824" s="3" t="str">
        <v>H:Hull</v>
      </c>
      <c r="D824" s="3">
        <f>D823+1</f>
        <v>997</v>
      </c>
      <c r="E824" s="3" t="str">
        <f>CONCAT("Q","/",LEFT(Table2[[#This Row],[Quotation Type]],1),"/", LEFT(Table2[[#This Row],[Branch]],1),"/", RIGHT(YEAR(TODAY()),2), "/",Table2[[#This Row],[Seq. Number]])</f>
        <v>Q/R/H/26/997</v>
      </c>
      <c r="G824" s="3" t="str">
        <v>Kenji</v>
      </c>
      <c r="I824" s="3" t="str">
        <v>O/T</v>
      </c>
      <c r="J824" s="3" t="str">
        <v>Sarnia</v>
      </c>
    </row>
    <row r="825">
      <c r="A825" s="3">
        <v>45656</v>
      </c>
      <c r="B825" s="3" t="str">
        <v>R:Renewal</v>
      </c>
      <c r="C825" s="3" t="str">
        <v>W:War</v>
      </c>
      <c r="D825" s="3">
        <f>D824+1</f>
        <v>998</v>
      </c>
      <c r="E825" s="3" t="str">
        <f>CONCAT("Q","/",LEFT(Table2[[#This Row],[Quotation Type]],1),"/", LEFT(Table2[[#This Row],[Branch]],1),"/", RIGHT(YEAR(TODAY()),2), "/",Table2[[#This Row],[Seq. Number]])</f>
        <v>Q/R/W/26/998</v>
      </c>
      <c r="G825" s="3" t="str">
        <v>Kenji</v>
      </c>
      <c r="I825" s="3" t="str">
        <v>O/T</v>
      </c>
      <c r="J825" s="3" t="str">
        <v>Sarnia</v>
      </c>
    </row>
    <row r="826">
      <c r="A826" s="3">
        <v>45660</v>
      </c>
      <c r="B826" s="3" t="str">
        <v>N:New Quotation</v>
      </c>
      <c r="C826" s="3" t="str">
        <v>H:Hull</v>
      </c>
      <c r="D826" s="3">
        <f>D825+1</f>
        <v>999</v>
      </c>
      <c r="E826" s="3" t="str">
        <f>CONCAT("Q","/",LEFT(Table2[[#This Row],[Quotation Type]],1),"/", LEFT(Table2[[#This Row],[Branch]],1),"/", RIGHT(YEAR(TODAY()),2), "/",Table2[[#This Row],[Seq. Number]])</f>
        <v>Q/N/H/26/999</v>
      </c>
      <c r="G826" s="3" t="str">
        <v>Khaled VII</v>
      </c>
      <c r="I826" s="3" t="str">
        <v>Supply Vessel</v>
      </c>
      <c r="J826" s="3" t="str">
        <v>IPIC</v>
      </c>
    </row>
    <row r="827">
      <c r="A827" s="3">
        <v>45665</v>
      </c>
      <c r="B827" s="3" t="str">
        <v>N:New Quotation</v>
      </c>
      <c r="C827" s="3" t="str">
        <v>P:P&amp;I</v>
      </c>
      <c r="D827" s="3">
        <f>D826+1</f>
        <v>1000</v>
      </c>
      <c r="E827" s="3" t="str">
        <f>CONCAT("Q","/",LEFT(Table2[[#This Row],[Quotation Type]],1),"/", LEFT(Table2[[#This Row],[Branch]],1),"/", RIGHT(YEAR(TODAY()),2), "/",Table2[[#This Row],[Seq. Number]])</f>
        <v>Q/N/P/26/1000</v>
      </c>
      <c r="F827" s="3" t="str">
        <v>Reform Shipping</v>
      </c>
      <c r="I827" s="3" t="str">
        <v>GC</v>
      </c>
      <c r="J827" s="3" t="str">
        <v>Brandenburg</v>
      </c>
    </row>
    <row r="828">
      <c r="A828" s="3">
        <v>45665</v>
      </c>
      <c r="B828" s="3" t="str">
        <v>N:New Quotation</v>
      </c>
      <c r="C828" s="3" t="str">
        <v>P:P&amp;I</v>
      </c>
      <c r="D828" s="3">
        <f>D827+1</f>
        <v>1001</v>
      </c>
      <c r="E828" s="3" t="str">
        <f>CONCAT("Q","/",LEFT(Table2[[#This Row],[Quotation Type]],1),"/", LEFT(Table2[[#This Row],[Branch]],1),"/", RIGHT(YEAR(TODAY()),2), "/",Table2[[#This Row],[Seq. Number]])</f>
        <v>Q/N/P/26/1001</v>
      </c>
      <c r="G828" s="3" t="str">
        <v>Albero</v>
      </c>
      <c r="I828" s="3" t="str">
        <v>GC</v>
      </c>
      <c r="J828" s="3" t="str">
        <v>Mesco</v>
      </c>
    </row>
    <row r="829">
      <c r="A829" s="3">
        <v>45665</v>
      </c>
      <c r="B829" s="3" t="str">
        <v>R:Renewal</v>
      </c>
      <c r="C829" s="3" t="str">
        <v>H:Hull</v>
      </c>
      <c r="D829" s="3">
        <f>D828+1</f>
        <v>1002</v>
      </c>
      <c r="E829" s="3" t="str">
        <f>CONCAT("Q","/",LEFT(Table2[[#This Row],[Quotation Type]],1),"/", LEFT(Table2[[#This Row],[Branch]],1),"/", RIGHT(YEAR(TODAY()),2), "/",Table2[[#This Row],[Seq. Number]])</f>
        <v>Q/R/H/26/1002</v>
      </c>
      <c r="G829" s="3" t="str">
        <v>Atlantis MZ</v>
      </c>
      <c r="I829" s="3" t="str">
        <v>O/T</v>
      </c>
      <c r="J829" s="3" t="str">
        <v>SSS</v>
      </c>
    </row>
    <row r="830">
      <c r="A830" s="3">
        <v>45665</v>
      </c>
      <c r="B830" s="3" t="str">
        <v>R:Renewal</v>
      </c>
      <c r="C830" s="3" t="str">
        <v>W:War</v>
      </c>
      <c r="D830" s="3">
        <f>D829+1</f>
        <v>1003</v>
      </c>
      <c r="E830" s="3" t="str">
        <f>CONCAT("Q","/",LEFT(Table2[[#This Row],[Quotation Type]],1),"/", LEFT(Table2[[#This Row],[Branch]],1),"/", RIGHT(YEAR(TODAY()),2), "/",Table2[[#This Row],[Seq. Number]])</f>
        <v>Q/R/W/26/1003</v>
      </c>
      <c r="G830" s="3" t="str">
        <v>Atlantis MZ</v>
      </c>
      <c r="I830" s="3" t="str">
        <v>O/T</v>
      </c>
      <c r="J830" s="3" t="str">
        <v>SSS</v>
      </c>
    </row>
    <row r="831">
      <c r="A831" s="3">
        <v>45665</v>
      </c>
      <c r="B831" s="3" t="str">
        <v>N:New Quotation</v>
      </c>
      <c r="C831" s="3" t="str">
        <v>P:P&amp;I</v>
      </c>
      <c r="D831" s="3">
        <f>D830+1</f>
        <v>1004</v>
      </c>
      <c r="E831" s="3" t="str">
        <f>CONCAT("Q","/",LEFT(Table2[[#This Row],[Quotation Type]],1),"/", LEFT(Table2[[#This Row],[Branch]],1),"/", RIGHT(YEAR(TODAY()),2), "/",Table2[[#This Row],[Seq. Number]])</f>
        <v>Q/N/P/26/1004</v>
      </c>
      <c r="G831" s="3" t="str">
        <v>Jacuar</v>
      </c>
      <c r="I831" s="3" t="str">
        <v>GC</v>
      </c>
      <c r="J831" s="3" t="str">
        <v>Brandenburg</v>
      </c>
    </row>
    <row r="832">
      <c r="A832" s="3">
        <v>45665</v>
      </c>
      <c r="B832" s="3" t="str">
        <v>N:New Quotation</v>
      </c>
      <c r="C832" s="3" t="str">
        <v>F:FD&amp;D</v>
      </c>
      <c r="D832" s="3">
        <f>D831+1</f>
        <v>1005</v>
      </c>
      <c r="E832" s="3" t="str">
        <f>CONCAT("Q","/",LEFT(Table2[[#This Row],[Quotation Type]],1),"/", LEFT(Table2[[#This Row],[Branch]],1),"/", RIGHT(YEAR(TODAY()),2), "/",Table2[[#This Row],[Seq. Number]])</f>
        <v>Q/N/F/26/1005</v>
      </c>
      <c r="G832" s="3" t="str">
        <v>Jacuar</v>
      </c>
      <c r="I832" s="3" t="str">
        <v>GC</v>
      </c>
      <c r="J832" s="3" t="str">
        <v>Brandenburg</v>
      </c>
    </row>
    <row r="833">
      <c r="A833" s="3">
        <v>45666</v>
      </c>
      <c r="B833" s="3" t="str">
        <v>R:Renewal</v>
      </c>
      <c r="C833" s="3" t="str">
        <v>P:P&amp;I</v>
      </c>
      <c r="D833" s="3">
        <f>D832+1</f>
        <v>1006</v>
      </c>
      <c r="E833" s="3" t="str">
        <f>CONCAT("Q","/",LEFT(Table2[[#This Row],[Quotation Type]],1),"/", LEFT(Table2[[#This Row],[Branch]],1),"/", RIGHT(YEAR(TODAY()),2), "/",Table2[[#This Row],[Seq. Number]])</f>
        <v>Q/R/P/26/1006</v>
      </c>
      <c r="F833" s="3" t="str">
        <v>Adnan Hassan Fleet</v>
      </c>
      <c r="I833" s="3" t="str">
        <v>GC</v>
      </c>
      <c r="J833" s="3" t="str">
        <v>Kuzey</v>
      </c>
    </row>
    <row r="834">
      <c r="A834" s="3">
        <v>45666</v>
      </c>
      <c r="B834" s="3" t="str">
        <v>N:New Quotation</v>
      </c>
      <c r="C834" s="3" t="str">
        <v>P:P&amp;I</v>
      </c>
      <c r="D834" s="3">
        <f>D833+1</f>
        <v>1007</v>
      </c>
      <c r="E834" s="3" t="str">
        <f>CONCAT("Q","/",LEFT(Table2[[#This Row],[Quotation Type]],1),"/", LEFT(Table2[[#This Row],[Branch]],1),"/", RIGHT(YEAR(TODAY()),2), "/",Table2[[#This Row],[Seq. Number]])</f>
        <v>Q/N/P/26/1007</v>
      </c>
      <c r="F834" s="3" t="str">
        <v>VRS Maritime</v>
      </c>
      <c r="I834" s="3" t="str">
        <v>GC</v>
      </c>
      <c r="J834" s="3" t="str">
        <v>Brandenburg</v>
      </c>
    </row>
    <row r="835">
      <c r="A835" s="3">
        <v>45666</v>
      </c>
      <c r="B835" s="3" t="str">
        <v>N:New Quotation</v>
      </c>
      <c r="C835" s="3" t="str">
        <v>F:FD&amp;D</v>
      </c>
      <c r="D835" s="3">
        <f>D834+1</f>
        <v>1008</v>
      </c>
      <c r="E835" s="3" t="str">
        <f>CONCAT("Q","/",LEFT(Table2[[#This Row],[Quotation Type]],1),"/", LEFT(Table2[[#This Row],[Branch]],1),"/", RIGHT(YEAR(TODAY()),2), "/",Table2[[#This Row],[Seq. Number]])</f>
        <v>Q/N/F/26/1008</v>
      </c>
      <c r="F835" s="3" t="str">
        <v>VRS Maritime</v>
      </c>
      <c r="I835" s="3" t="str">
        <v>GC</v>
      </c>
      <c r="J835" s="3" t="str">
        <v>Brandenburg</v>
      </c>
    </row>
    <row r="836">
      <c r="A836" s="3">
        <v>45667</v>
      </c>
      <c r="B836" s="3" t="str">
        <v>A:Addition</v>
      </c>
      <c r="C836" s="3" t="str">
        <v>W:War</v>
      </c>
      <c r="D836" s="3">
        <f>D835+1</f>
        <v>1009</v>
      </c>
      <c r="E836" s="3" t="str">
        <f>CONCAT("Q","/",LEFT(Table2[[#This Row],[Quotation Type]],1),"/", LEFT(Table2[[#This Row],[Branch]],1),"/", RIGHT(YEAR(TODAY()),2), "/",Table2[[#This Row],[Seq. Number]])</f>
        <v>Q/A/W/26/1009</v>
      </c>
      <c r="G836" s="3" t="str">
        <v>GF Anwar</v>
      </c>
      <c r="I836" s="3" t="str">
        <v>GC</v>
      </c>
      <c r="J836" s="3" t="str">
        <v>SSS</v>
      </c>
    </row>
    <row r="837">
      <c r="A837" s="3">
        <v>45668</v>
      </c>
      <c r="B837" s="3" t="str">
        <v>R:Renewal</v>
      </c>
      <c r="C837" s="3" t="str">
        <v>H:Hull</v>
      </c>
      <c r="D837" s="3">
        <f>D836+1</f>
        <v>1010</v>
      </c>
      <c r="E837" s="3" t="str">
        <f>CONCAT("Q","/",LEFT(Table2[[#This Row],[Quotation Type]],1),"/", LEFT(Table2[[#This Row],[Branch]],1),"/", RIGHT(YEAR(TODAY()),2), "/",Table2[[#This Row],[Seq. Number]])</f>
        <v>Q/R/H/26/1010</v>
      </c>
      <c r="G837" s="3" t="str">
        <v>Rider</v>
      </c>
      <c r="I837" s="3" t="str">
        <v>GC</v>
      </c>
      <c r="J837" s="3" t="str">
        <v>Direct</v>
      </c>
    </row>
    <row r="838">
      <c r="A838" s="3">
        <v>45668</v>
      </c>
      <c r="B838" s="3" t="str">
        <v>R:Renewal</v>
      </c>
      <c r="C838" s="3" t="str">
        <v>H:Hull</v>
      </c>
      <c r="D838" s="3">
        <f>D837+1</f>
        <v>1011</v>
      </c>
      <c r="E838" s="3" t="str">
        <f>CONCAT("Q","/",LEFT(Table2[[#This Row],[Quotation Type]],1),"/", LEFT(Table2[[#This Row],[Branch]],1),"/", RIGHT(YEAR(TODAY()),2), "/",Table2[[#This Row],[Seq. Number]])</f>
        <v>Q/R/H/26/1011</v>
      </c>
      <c r="G838" s="3" t="str">
        <v>Blue Ocean A</v>
      </c>
      <c r="I838" s="3" t="str">
        <v>MLV</v>
      </c>
      <c r="J838" s="3" t="str">
        <v>Observator</v>
      </c>
    </row>
    <row r="839">
      <c r="A839" s="3">
        <v>45668</v>
      </c>
      <c r="B839" s="3" t="str">
        <v>R:Renewal</v>
      </c>
      <c r="C839" s="3" t="str">
        <v>P:P&amp;I</v>
      </c>
      <c r="D839" s="3">
        <f>D838+1</f>
        <v>1012</v>
      </c>
      <c r="E839" s="3" t="str">
        <f>CONCAT("Q","/",LEFT(Table2[[#This Row],[Quotation Type]],1),"/", LEFT(Table2[[#This Row],[Branch]],1),"/", RIGHT(YEAR(TODAY()),2), "/",Table2[[#This Row],[Seq. Number]])</f>
        <v>Q/R/P/26/1012</v>
      </c>
      <c r="G839" s="3" t="str">
        <v>Blue Ocean A</v>
      </c>
      <c r="I839" s="3" t="str">
        <v>MLV</v>
      </c>
      <c r="J839" s="3" t="str">
        <v>Observator</v>
      </c>
    </row>
    <row r="840">
      <c r="A840" s="3">
        <v>45668</v>
      </c>
      <c r="B840" s="3" t="str">
        <v>R:Renewal</v>
      </c>
      <c r="C840" s="3" t="str">
        <v>P:P&amp;I</v>
      </c>
      <c r="D840" s="3">
        <f>D839+1</f>
        <v>1013</v>
      </c>
      <c r="E840" s="3" t="str">
        <f>CONCAT("Q","/",LEFT(Table2[[#This Row],[Quotation Type]],1),"/", LEFT(Table2[[#This Row],[Branch]],1),"/", RIGHT(YEAR(TODAY()),2), "/",Table2[[#This Row],[Seq. Number]])</f>
        <v>Q/R/P/26/1013</v>
      </c>
      <c r="F840" s="3" t="str">
        <v>Mina Group</v>
      </c>
      <c r="I840" s="3" t="str">
        <v>GC</v>
      </c>
      <c r="J840" s="3" t="str">
        <v>Direct</v>
      </c>
    </row>
    <row r="841">
      <c r="A841" s="3">
        <v>45668</v>
      </c>
      <c r="B841" s="3" t="str">
        <v>R:Renewal</v>
      </c>
      <c r="C841" s="3" t="str">
        <v>P:P&amp;I</v>
      </c>
      <c r="D841" s="3">
        <f>D840+1</f>
        <v>1014</v>
      </c>
      <c r="E841" s="3" t="str">
        <f>CONCAT("Q","/",LEFT(Table2[[#This Row],[Quotation Type]],1),"/", LEFT(Table2[[#This Row],[Branch]],1),"/", RIGHT(YEAR(TODAY()),2), "/",Table2[[#This Row],[Seq. Number]])</f>
        <v>Q/R/P/26/1014</v>
      </c>
      <c r="F841" s="3" t="str">
        <v>Mina Group</v>
      </c>
      <c r="I841" s="3" t="str">
        <v>MLV</v>
      </c>
      <c r="J841" s="3" t="str">
        <v>Direct</v>
      </c>
    </row>
    <row r="842">
      <c r="A842" s="3">
        <v>45668</v>
      </c>
      <c r="B842" s="3" t="str">
        <v>N:New Quotation</v>
      </c>
      <c r="C842" s="3" t="str">
        <v>P:P&amp;I</v>
      </c>
      <c r="D842" s="3">
        <f>D841+1</f>
        <v>1015</v>
      </c>
      <c r="E842" s="3" t="str">
        <f>CONCAT("Q","/",LEFT(Table2[[#This Row],[Quotation Type]],1),"/", LEFT(Table2[[#This Row],[Branch]],1),"/", RIGHT(YEAR(TODAY()),2), "/",Table2[[#This Row],[Seq. Number]])</f>
        <v>Q/N/P/26/1015</v>
      </c>
      <c r="G842" s="3" t="str">
        <v>Taj</v>
      </c>
      <c r="I842" s="3" t="str">
        <v>GC</v>
      </c>
      <c r="J842" s="3" t="str">
        <v>Direct</v>
      </c>
    </row>
    <row r="843">
      <c r="A843" s="3">
        <v>45671</v>
      </c>
      <c r="B843" s="3" t="str">
        <v>N:New Quotation</v>
      </c>
      <c r="C843" s="3" t="str">
        <v>P:P&amp;I</v>
      </c>
      <c r="D843" s="3">
        <f>D842+1</f>
        <v>1016</v>
      </c>
      <c r="E843" s="3" t="str">
        <f>CONCAT("Q","/",LEFT(Table2[[#This Row],[Quotation Type]],1),"/", LEFT(Table2[[#This Row],[Branch]],1),"/", RIGHT(YEAR(TODAY()),2), "/",Table2[[#This Row],[Seq. Number]])</f>
        <v>Q/N/P/26/1016</v>
      </c>
      <c r="G843" s="3" t="str">
        <v>AK Pioneer</v>
      </c>
      <c r="I843" s="3" t="str">
        <v>GC</v>
      </c>
      <c r="J843" s="3" t="str">
        <v>Brandenburg</v>
      </c>
    </row>
    <row r="844">
      <c r="A844" s="3">
        <v>45671</v>
      </c>
      <c r="B844" s="3" t="str">
        <v>N:New Quotation</v>
      </c>
      <c r="C844" s="3" t="str">
        <v>P:P&amp;I</v>
      </c>
      <c r="D844" s="3">
        <f>D843+1</f>
        <v>1017</v>
      </c>
      <c r="E844" s="3" t="str">
        <f>CONCAT("Q","/",LEFT(Table2[[#This Row],[Quotation Type]],1),"/", LEFT(Table2[[#This Row],[Branch]],1),"/", RIGHT(YEAR(TODAY()),2), "/",Table2[[#This Row],[Seq. Number]])</f>
        <v>Q/N/P/26/1017</v>
      </c>
      <c r="G844" s="3" t="str">
        <v>SMS Carrera</v>
      </c>
      <c r="I844" s="3" t="str">
        <v>GC</v>
      </c>
      <c r="J844" s="3" t="str">
        <v>Brandenburg</v>
      </c>
    </row>
    <row r="845">
      <c r="A845" s="3">
        <v>45671</v>
      </c>
      <c r="B845" s="3" t="str">
        <v>N:New Quotation</v>
      </c>
      <c r="C845" s="3" t="str">
        <v>F:FD&amp;D</v>
      </c>
      <c r="D845" s="3">
        <f>D844+1</f>
        <v>1018</v>
      </c>
      <c r="E845" s="3" t="str">
        <f>CONCAT("Q","/",LEFT(Table2[[#This Row],[Quotation Type]],1),"/", LEFT(Table2[[#This Row],[Branch]],1),"/", RIGHT(YEAR(TODAY()),2), "/",Table2[[#This Row],[Seq. Number]])</f>
        <v>Q/N/F/26/1018</v>
      </c>
      <c r="G845" s="3" t="str">
        <v>SMS Carrera</v>
      </c>
      <c r="I845" s="3" t="str">
        <v>GC</v>
      </c>
      <c r="J845" s="3" t="str">
        <v>Brandenburg</v>
      </c>
    </row>
    <row r="846">
      <c r="A846" s="3">
        <v>45672</v>
      </c>
      <c r="B846" s="3" t="str">
        <v>N:New Quotation</v>
      </c>
      <c r="C846" s="3" t="str">
        <v>P:P&amp;I</v>
      </c>
      <c r="D846" s="3">
        <f>D845+1</f>
        <v>1019</v>
      </c>
      <c r="E846" s="3" t="str">
        <f>CONCAT("Q","/",LEFT(Table2[[#This Row],[Quotation Type]],1),"/", LEFT(Table2[[#This Row],[Branch]],1),"/", RIGHT(YEAR(TODAY()),2), "/",Table2[[#This Row],[Seq. Number]])</f>
        <v>Q/N/P/26/1019</v>
      </c>
      <c r="F846" s="3" t="str">
        <v>Sata Chartering</v>
      </c>
      <c r="I846" s="3" t="str">
        <v>GC</v>
      </c>
      <c r="J846" s="3" t="str">
        <v>Brandenburg</v>
      </c>
    </row>
    <row r="847">
      <c r="A847" s="3">
        <v>45672</v>
      </c>
      <c r="B847" s="3" t="str">
        <v>N:New Quotation</v>
      </c>
      <c r="C847" s="3" t="str">
        <v>P:P&amp;I</v>
      </c>
      <c r="D847" s="3">
        <f>D846+1</f>
        <v>1020</v>
      </c>
      <c r="E847" s="3" t="str">
        <f>CONCAT("Q","/",LEFT(Table2[[#This Row],[Quotation Type]],1),"/", LEFT(Table2[[#This Row],[Branch]],1),"/", RIGHT(YEAR(TODAY()),2), "/",Table2[[#This Row],[Seq. Number]])</f>
        <v>Q/N/P/26/1020</v>
      </c>
      <c r="F847" s="3" t="str">
        <v>VRS Maritime</v>
      </c>
      <c r="I847" s="3" t="str">
        <v>GC</v>
      </c>
      <c r="J847" s="3" t="str">
        <v>Brandenburg</v>
      </c>
    </row>
    <row r="848">
      <c r="A848" s="3">
        <v>45672</v>
      </c>
      <c r="B848" s="3" t="str">
        <v>N:New Quotation</v>
      </c>
      <c r="C848" s="3" t="str">
        <v>P:P&amp;I</v>
      </c>
      <c r="D848" s="3">
        <f>D847+1</f>
        <v>1021</v>
      </c>
      <c r="E848" s="3" t="str">
        <f>CONCAT("Q","/",LEFT(Table2[[#This Row],[Quotation Type]],1),"/", LEFT(Table2[[#This Row],[Branch]],1),"/", RIGHT(YEAR(TODAY()),2), "/",Table2[[#This Row],[Seq. Number]])</f>
        <v>Q/N/P/26/1021</v>
      </c>
      <c r="G848" s="3" t="str">
        <v>Bella-Omorfi</v>
      </c>
      <c r="I848" s="3" t="str">
        <v>GC</v>
      </c>
      <c r="J848" s="3" t="str">
        <v>GMS</v>
      </c>
    </row>
    <row r="849">
      <c r="A849" s="3">
        <v>45672</v>
      </c>
      <c r="B849" s="3" t="str">
        <v>N:New Quotation</v>
      </c>
      <c r="C849" s="3" t="str">
        <v>P:P&amp;I</v>
      </c>
      <c r="D849" s="3">
        <f>D848+1</f>
        <v>1022</v>
      </c>
      <c r="E849" s="3" t="str">
        <f>CONCAT("Q","/",LEFT(Table2[[#This Row],[Quotation Type]],1),"/", LEFT(Table2[[#This Row],[Branch]],1),"/", RIGHT(YEAR(TODAY()),2), "/",Table2[[#This Row],[Seq. Number]])</f>
        <v>Q/N/P/26/1022</v>
      </c>
      <c r="F849" s="3" t="str">
        <v>Romarine</v>
      </c>
      <c r="I849" s="3" t="str">
        <v>GC</v>
      </c>
      <c r="J849" s="3" t="str">
        <v>Direct</v>
      </c>
    </row>
    <row r="850">
      <c r="A850" s="3">
        <v>45673</v>
      </c>
      <c r="B850" s="3" t="str">
        <v>R:Renewal</v>
      </c>
      <c r="C850" s="3" t="str">
        <v>H:Hull</v>
      </c>
      <c r="D850" s="3">
        <f>D849+1</f>
        <v>1023</v>
      </c>
      <c r="E850" s="3" t="str">
        <f>CONCAT("Q","/",LEFT(Table2[[#This Row],[Quotation Type]],1),"/", LEFT(Table2[[#This Row],[Branch]],1),"/", RIGHT(YEAR(TODAY()),2), "/",Table2[[#This Row],[Seq. Number]])</f>
        <v>Q/R/H/26/1023</v>
      </c>
      <c r="G850" s="3" t="str">
        <v>IMA Glory</v>
      </c>
      <c r="I850" s="3" t="str">
        <v>GC</v>
      </c>
      <c r="J850" s="3" t="str">
        <v>Direct</v>
      </c>
    </row>
    <row r="851">
      <c r="A851" s="3">
        <v>45673</v>
      </c>
      <c r="B851" s="3" t="str">
        <v>R:Renewal</v>
      </c>
      <c r="C851" s="3" t="str">
        <v>P:P&amp;I</v>
      </c>
      <c r="D851" s="3">
        <f>D850+1</f>
        <v>1024</v>
      </c>
      <c r="E851" s="3" t="str">
        <f>CONCAT("Q","/",LEFT(Table2[[#This Row],[Quotation Type]],1),"/", LEFT(Table2[[#This Row],[Branch]],1),"/", RIGHT(YEAR(TODAY()),2), "/",Table2[[#This Row],[Seq. Number]])</f>
        <v>Q/R/P/26/1024</v>
      </c>
      <c r="G851" s="3" t="str">
        <v>IMA Glory</v>
      </c>
      <c r="I851" s="3" t="str">
        <v>GC</v>
      </c>
      <c r="J851" s="3" t="str">
        <v>Direct</v>
      </c>
    </row>
    <row r="852">
      <c r="A852" s="3">
        <v>45677</v>
      </c>
      <c r="B852" s="3" t="str">
        <v>R:Renewal</v>
      </c>
      <c r="C852" s="3" t="str">
        <v>H:Hull</v>
      </c>
      <c r="D852" s="3">
        <f>D851+1</f>
        <v>1025</v>
      </c>
      <c r="E852" s="3" t="str">
        <f>CONCAT("Q","/",LEFT(Table2[[#This Row],[Quotation Type]],1),"/", LEFT(Table2[[#This Row],[Branch]],1),"/", RIGHT(YEAR(TODAY()),2), "/",Table2[[#This Row],[Seq. Number]])</f>
        <v>Q/R/H/26/1025</v>
      </c>
      <c r="G852" s="3" t="str">
        <v>Aida</v>
      </c>
      <c r="I852" s="3" t="str">
        <v>GC</v>
      </c>
      <c r="J852" s="3" t="str">
        <v>Brandenburg</v>
      </c>
    </row>
    <row r="853">
      <c r="A853" s="3">
        <v>45678</v>
      </c>
      <c r="B853" s="3" t="str">
        <v>N:New Quotation</v>
      </c>
      <c r="C853" s="3" t="str">
        <v>P:P&amp;I</v>
      </c>
      <c r="D853" s="3">
        <f>D852+1</f>
        <v>1026</v>
      </c>
      <c r="E853" s="3" t="str">
        <f>CONCAT("Q","/",LEFT(Table2[[#This Row],[Quotation Type]],1),"/", LEFT(Table2[[#This Row],[Branch]],1),"/", RIGHT(YEAR(TODAY()),2), "/",Table2[[#This Row],[Seq. Number]])</f>
        <v>Q/N/P/26/1026</v>
      </c>
      <c r="G853" s="3" t="str">
        <v>Maya S</v>
      </c>
      <c r="I853" s="3" t="str">
        <v>GC</v>
      </c>
      <c r="J853" s="3" t="str">
        <v>GMS</v>
      </c>
    </row>
    <row r="854">
      <c r="A854" s="3">
        <v>45679</v>
      </c>
      <c r="B854" s="3" t="str">
        <v>N:New Quotation</v>
      </c>
      <c r="C854" s="3" t="str">
        <v>P:P&amp;I</v>
      </c>
      <c r="D854" s="3">
        <f>D853+1</f>
        <v>1027</v>
      </c>
      <c r="E854" s="3" t="str">
        <f>CONCAT("Q","/",LEFT(Table2[[#This Row],[Quotation Type]],1),"/", LEFT(Table2[[#This Row],[Branch]],1),"/", RIGHT(YEAR(TODAY()),2), "/",Table2[[#This Row],[Seq. Number]])</f>
        <v>Q/N/P/26/1027</v>
      </c>
      <c r="F854" s="3" t="str">
        <v>Santa Maria</v>
      </c>
      <c r="I854" s="3" t="str">
        <v>BC</v>
      </c>
      <c r="J854" s="3" t="str">
        <v>Mesco</v>
      </c>
    </row>
    <row r="855">
      <c r="A855" s="3">
        <v>45679</v>
      </c>
      <c r="B855" s="3" t="str">
        <v>N:New Quotation</v>
      </c>
      <c r="C855" s="3" t="str">
        <v>P:P&amp;I</v>
      </c>
      <c r="D855" s="3">
        <f>D854+1</f>
        <v>1028</v>
      </c>
      <c r="E855" s="3" t="str">
        <f>CONCAT("Q","/",LEFT(Table2[[#This Row],[Quotation Type]],1),"/", LEFT(Table2[[#This Row],[Branch]],1),"/", RIGHT(YEAR(TODAY()),2), "/",Table2[[#This Row],[Seq. Number]])</f>
        <v>Q/N/P/26/1028</v>
      </c>
      <c r="F855" s="3" t="str">
        <v>Manassa Account</v>
      </c>
      <c r="I855" s="3" t="str">
        <v>GC</v>
      </c>
      <c r="J855" s="3" t="str">
        <v>Mesco</v>
      </c>
    </row>
    <row r="856">
      <c r="A856" s="3">
        <v>45684</v>
      </c>
      <c r="B856" s="3" t="str">
        <v>R:Renewal</v>
      </c>
      <c r="C856" s="3" t="str">
        <v>H:Hull</v>
      </c>
      <c r="D856" s="3">
        <f>D855+1</f>
        <v>1029</v>
      </c>
      <c r="E856" s="3" t="str">
        <f>CONCAT("Q","/",LEFT(Table2[[#This Row],[Quotation Type]],1),"/", LEFT(Table2[[#This Row],[Branch]],1),"/", RIGHT(YEAR(TODAY()),2), "/",Table2[[#This Row],[Seq. Number]])</f>
        <v>Q/R/H/26/1029</v>
      </c>
      <c r="G856" s="3" t="str">
        <v>Mo Joud</v>
      </c>
      <c r="I856" s="3" t="str">
        <v>GC</v>
      </c>
      <c r="J856" s="3" t="str">
        <v>Direct</v>
      </c>
    </row>
    <row r="857">
      <c r="A857" s="3">
        <v>45684</v>
      </c>
      <c r="B857" s="3" t="str">
        <v>R:Renewal</v>
      </c>
      <c r="C857" s="3" t="str">
        <v>P:P&amp;I</v>
      </c>
      <c r="D857" s="3">
        <f>D856+1</f>
        <v>1030</v>
      </c>
      <c r="E857" s="3" t="str">
        <f>CONCAT("Q","/",LEFT(Table2[[#This Row],[Quotation Type]],1),"/", LEFT(Table2[[#This Row],[Branch]],1),"/", RIGHT(YEAR(TODAY()),2), "/",Table2[[#This Row],[Seq. Number]])</f>
        <v>Q/R/P/26/1030</v>
      </c>
      <c r="G857" s="3" t="str">
        <v>Mo Joud</v>
      </c>
      <c r="I857" s="3" t="str">
        <v>GC</v>
      </c>
      <c r="J857" s="3" t="str">
        <v>Direct</v>
      </c>
    </row>
    <row r="858">
      <c r="A858" s="3">
        <v>45684</v>
      </c>
      <c r="B858" s="3" t="str">
        <v>R:Renewal</v>
      </c>
      <c r="C858" s="3" t="str">
        <v>P:P&amp;I</v>
      </c>
      <c r="D858" s="3">
        <f>D857+1</f>
        <v>1031</v>
      </c>
      <c r="E858" s="3" t="str">
        <f>CONCAT("Q","/",LEFT(Table2[[#This Row],[Quotation Type]],1),"/", LEFT(Table2[[#This Row],[Branch]],1),"/", RIGHT(YEAR(TODAY()),2), "/",Table2[[#This Row],[Seq. Number]])</f>
        <v>Q/R/P/26/1031</v>
      </c>
      <c r="G858" s="3" t="str">
        <v>AB Moly</v>
      </c>
      <c r="I858" s="3" t="str">
        <v>GC</v>
      </c>
      <c r="J858" s="3" t="str">
        <v>Direct</v>
      </c>
    </row>
    <row r="859">
      <c r="A859" s="3">
        <v>45684</v>
      </c>
      <c r="B859" s="3" t="str">
        <v>R:Renewal</v>
      </c>
      <c r="C859" s="3" t="str">
        <v>P:P&amp;I</v>
      </c>
      <c r="D859" s="3">
        <f>D858+1</f>
        <v>1032</v>
      </c>
      <c r="E859" s="3" t="str">
        <f>CONCAT("Q","/",LEFT(Table2[[#This Row],[Quotation Type]],1),"/", LEFT(Table2[[#This Row],[Branch]],1),"/", RIGHT(YEAR(TODAY()),2), "/",Table2[[#This Row],[Seq. Number]])</f>
        <v>Q/R/P/26/1032</v>
      </c>
      <c r="G859" s="3" t="str">
        <v>AB Ayana</v>
      </c>
      <c r="I859" s="3" t="str">
        <v>GC</v>
      </c>
      <c r="J859" s="3" t="str">
        <v>Direct</v>
      </c>
    </row>
    <row r="860">
      <c r="A860" s="3">
        <v>45684</v>
      </c>
      <c r="B860" s="3" t="str">
        <v>R:Renewal</v>
      </c>
      <c r="C860" s="3" t="str">
        <v>H:Hull</v>
      </c>
      <c r="D860" s="3">
        <f>D859+1</f>
        <v>1033</v>
      </c>
      <c r="E860" s="3" t="str">
        <f>CONCAT("Q","/",LEFT(Table2[[#This Row],[Quotation Type]],1),"/", LEFT(Table2[[#This Row],[Branch]],1),"/", RIGHT(YEAR(TODAY()),2), "/",Table2[[#This Row],[Seq. Number]])</f>
        <v>Q/R/H/26/1033</v>
      </c>
      <c r="G860" s="3" t="str">
        <v>Ous Brave</v>
      </c>
      <c r="I860" s="3" t="str">
        <v>GC</v>
      </c>
      <c r="J860" s="3" t="str">
        <v>Direct</v>
      </c>
    </row>
    <row r="861">
      <c r="A861" s="3">
        <v>45684</v>
      </c>
      <c r="B861" s="3" t="str">
        <v>R:Renewal</v>
      </c>
      <c r="C861" s="3" t="str">
        <v>P:P&amp;I</v>
      </c>
      <c r="D861" s="3">
        <f>D860+1</f>
        <v>1034</v>
      </c>
      <c r="E861" s="3" t="str">
        <f>CONCAT("Q","/",LEFT(Table2[[#This Row],[Quotation Type]],1),"/", LEFT(Table2[[#This Row],[Branch]],1),"/", RIGHT(YEAR(TODAY()),2), "/",Table2[[#This Row],[Seq. Number]])</f>
        <v>Q/R/P/26/1034</v>
      </c>
      <c r="G861" s="3" t="str">
        <v>Ous Brave</v>
      </c>
      <c r="I861" s="3" t="str">
        <v>GC</v>
      </c>
      <c r="J861" s="3" t="str">
        <v>Direct</v>
      </c>
    </row>
    <row r="862">
      <c r="A862" s="3">
        <v>45684</v>
      </c>
      <c r="B862" s="3" t="str">
        <v>R:Renewal</v>
      </c>
      <c r="C862" s="3" t="str">
        <v>H:Hull</v>
      </c>
      <c r="D862" s="3">
        <f>D861+1</f>
        <v>1035</v>
      </c>
      <c r="E862" s="3" t="str">
        <f>CONCAT("Q","/",LEFT(Table2[[#This Row],[Quotation Type]],1),"/", LEFT(Table2[[#This Row],[Branch]],1),"/", RIGHT(YEAR(TODAY()),2), "/",Table2[[#This Row],[Seq. Number]])</f>
        <v>Q/R/H/26/1035</v>
      </c>
      <c r="G862" s="3" t="str">
        <v>Pacific M</v>
      </c>
      <c r="I862" s="3" t="str">
        <v>MLV</v>
      </c>
      <c r="J862" s="3" t="str">
        <v>Direct</v>
      </c>
    </row>
    <row r="863">
      <c r="A863" s="3">
        <v>45684</v>
      </c>
      <c r="B863" s="3" t="str">
        <v>R:Renewal</v>
      </c>
      <c r="C863" s="3" t="str">
        <v>P:P&amp;I</v>
      </c>
      <c r="D863" s="3">
        <f>D862+1</f>
        <v>1036</v>
      </c>
      <c r="E863" s="3" t="str">
        <f>CONCAT("Q","/",LEFT(Table2[[#This Row],[Quotation Type]],1),"/", LEFT(Table2[[#This Row],[Branch]],1),"/", RIGHT(YEAR(TODAY()),2), "/",Table2[[#This Row],[Seq. Number]])</f>
        <v>Q/R/P/26/1036</v>
      </c>
      <c r="G863" s="3" t="str">
        <v>Pacific M</v>
      </c>
      <c r="I863" s="3" t="str">
        <v>MLV</v>
      </c>
      <c r="J863" s="3" t="str">
        <v>Direct</v>
      </c>
    </row>
    <row r="864">
      <c r="A864" s="3">
        <v>45684</v>
      </c>
      <c r="B864" s="3" t="str">
        <v>R:Renewal</v>
      </c>
      <c r="C864" s="3" t="str">
        <v>H:Hull</v>
      </c>
      <c r="D864" s="3">
        <f>D863+1</f>
        <v>1037</v>
      </c>
      <c r="E864" s="3" t="str">
        <f>CONCAT("Q","/",LEFT(Table2[[#This Row],[Quotation Type]],1),"/", LEFT(Table2[[#This Row],[Branch]],1),"/", RIGHT(YEAR(TODAY()),2), "/",Table2[[#This Row],[Seq. Number]])</f>
        <v>Q/R/H/26/1037</v>
      </c>
      <c r="G864" s="3" t="str">
        <v>Karadenizcem</v>
      </c>
      <c r="I864" s="3" t="str">
        <v>Cement</v>
      </c>
      <c r="J864" s="3" t="str">
        <v>City</v>
      </c>
    </row>
    <row r="865">
      <c r="A865" s="3">
        <v>45684</v>
      </c>
      <c r="B865" s="3" t="str">
        <v>R:Renewal</v>
      </c>
      <c r="C865" s="3" t="str">
        <v>H:Hull</v>
      </c>
      <c r="D865" s="3">
        <f>D864+1</f>
        <v>1038</v>
      </c>
      <c r="E865" s="3" t="str">
        <f>CONCAT("Q","/",LEFT(Table2[[#This Row],[Quotation Type]],1),"/", LEFT(Table2[[#This Row],[Branch]],1),"/", RIGHT(YEAR(TODAY()),2), "/",Table2[[#This Row],[Seq. Number]])</f>
        <v>Q/R/H/26/1038</v>
      </c>
      <c r="G865" s="3" t="str">
        <v>Seahorse</v>
      </c>
      <c r="I865" s="3" t="str">
        <v>GC</v>
      </c>
      <c r="J865" s="3" t="str">
        <v>Direct</v>
      </c>
    </row>
    <row r="866">
      <c r="A866" s="3">
        <v>45684</v>
      </c>
      <c r="B866" s="3" t="str">
        <v>R:Renewal</v>
      </c>
      <c r="C866" s="3" t="str">
        <v>P:P&amp;I</v>
      </c>
      <c r="D866" s="3">
        <f>D865+1</f>
        <v>1039</v>
      </c>
      <c r="E866" s="3" t="str">
        <f>CONCAT("Q","/",LEFT(Table2[[#This Row],[Quotation Type]],1),"/", LEFT(Table2[[#This Row],[Branch]],1),"/", RIGHT(YEAR(TODAY()),2), "/",Table2[[#This Row],[Seq. Number]])</f>
        <v>Q/R/P/26/1039</v>
      </c>
      <c r="G866" s="3" t="str">
        <v>Seahorse</v>
      </c>
      <c r="I866" s="3" t="str">
        <v>GC</v>
      </c>
      <c r="J866" s="3" t="str">
        <v>Direct</v>
      </c>
    </row>
    <row r="867">
      <c r="A867" s="3">
        <v>45686</v>
      </c>
      <c r="B867" s="3" t="str">
        <v>N:New Quotation</v>
      </c>
      <c r="C867" s="3" t="str">
        <v>P:P&amp;I</v>
      </c>
      <c r="D867" s="3">
        <f>D866+1</f>
        <v>1040</v>
      </c>
      <c r="E867" s="3" t="str">
        <f>CONCAT("Q","/",LEFT(Table2[[#This Row],[Quotation Type]],1),"/", LEFT(Table2[[#This Row],[Branch]],1),"/", RIGHT(YEAR(TODAY()),2), "/",Table2[[#This Row],[Seq. Number]])</f>
        <v>Q/N/P/26/1040</v>
      </c>
      <c r="G867" s="3" t="str">
        <v>Ayana</v>
      </c>
      <c r="I867" s="3" t="str">
        <v>GC</v>
      </c>
      <c r="J867" s="3" t="str">
        <v>Direct</v>
      </c>
    </row>
    <row r="868">
      <c r="A868" s="3">
        <v>45686</v>
      </c>
      <c r="B868" s="3" t="str">
        <v>N:New Quotation</v>
      </c>
      <c r="C868" s="3" t="str">
        <v>P:P&amp;I</v>
      </c>
      <c r="D868" s="3">
        <f>D867+1</f>
        <v>1041</v>
      </c>
      <c r="E868" s="3" t="str">
        <f>CONCAT("Q","/",LEFT(Table2[[#This Row],[Quotation Type]],1),"/", LEFT(Table2[[#This Row],[Branch]],1),"/", RIGHT(YEAR(TODAY()),2), "/",Table2[[#This Row],[Seq. Number]])</f>
        <v>Q/N/P/26/1041</v>
      </c>
      <c r="G868" s="3" t="str">
        <v>Maria S</v>
      </c>
      <c r="I868" s="3" t="str">
        <v>GC</v>
      </c>
      <c r="J868" s="3" t="str">
        <v>Direct</v>
      </c>
    </row>
    <row r="869">
      <c r="A869" s="3">
        <v>45687</v>
      </c>
      <c r="B869" s="3" t="str">
        <v>N:New Quotation</v>
      </c>
      <c r="C869" s="3" t="str">
        <v>H:Hull</v>
      </c>
      <c r="D869" s="3">
        <f>D868+1</f>
        <v>1042</v>
      </c>
      <c r="E869" s="3" t="str">
        <f>CONCAT("Q","/",LEFT(Table2[[#This Row],[Quotation Type]],1),"/", LEFT(Table2[[#This Row],[Branch]],1),"/", RIGHT(YEAR(TODAY()),2), "/",Table2[[#This Row],[Seq. Number]])</f>
        <v>Q/N/H/26/1042</v>
      </c>
      <c r="F869" s="3" t="str">
        <v>Blue Sea Marine</v>
      </c>
      <c r="I869" s="3" t="str">
        <v>LPG</v>
      </c>
      <c r="J869" s="3" t="str">
        <v>Kuzey</v>
      </c>
    </row>
    <row r="870">
      <c r="A870" s="3">
        <v>45688</v>
      </c>
      <c r="B870" s="3" t="str">
        <v>N:New Quotation</v>
      </c>
      <c r="C870" s="3" t="str">
        <v>P:P&amp;I</v>
      </c>
      <c r="D870" s="3">
        <f>D869+1</f>
        <v>1043</v>
      </c>
      <c r="E870" s="3" t="str">
        <f>CONCAT("Q","/",LEFT(Table2[[#This Row],[Quotation Type]],1),"/", LEFT(Table2[[#This Row],[Branch]],1),"/", RIGHT(YEAR(TODAY()),2), "/",Table2[[#This Row],[Seq. Number]])</f>
        <v>Q/N/P/26/1043</v>
      </c>
      <c r="F870" s="3" t="str">
        <v>CNAN</v>
      </c>
      <c r="I870" s="3" t="str">
        <v>GC</v>
      </c>
      <c r="J870" s="3" t="str">
        <v>Ferrari</v>
      </c>
    </row>
    <row r="871">
      <c r="A871" s="3">
        <v>45693</v>
      </c>
      <c r="B871" s="3" t="str">
        <v>R:Renewal</v>
      </c>
      <c r="C871" s="3" t="str">
        <v>P:P&amp;I</v>
      </c>
      <c r="D871" s="3">
        <f>D870+1</f>
        <v>1044</v>
      </c>
      <c r="E871" s="3" t="str">
        <f>CONCAT("Q","/",LEFT(Table2[[#This Row],[Quotation Type]],1),"/", LEFT(Table2[[#This Row],[Branch]],1),"/", RIGHT(YEAR(TODAY()),2), "/",Table2[[#This Row],[Seq. Number]])</f>
        <v>Q/R/P/26/1044</v>
      </c>
      <c r="G871" s="3" t="str">
        <v>Mustang-1</v>
      </c>
      <c r="I871" s="3" t="str">
        <v>GC</v>
      </c>
      <c r="J871" s="3" t="str">
        <v>Observator</v>
      </c>
    </row>
    <row r="872">
      <c r="A872" s="3">
        <v>45694</v>
      </c>
      <c r="B872" s="3" t="str">
        <v>R:Renewal</v>
      </c>
      <c r="C872" s="3" t="str">
        <v>P:P&amp;I</v>
      </c>
      <c r="D872" s="3">
        <f>D871+1</f>
        <v>1045</v>
      </c>
      <c r="E872" s="3" t="str">
        <f>CONCAT("Q","/",LEFT(Table2[[#This Row],[Quotation Type]],1),"/", LEFT(Table2[[#This Row],[Branch]],1),"/", RIGHT(YEAR(TODAY()),2), "/",Table2[[#This Row],[Seq. Number]])</f>
        <v>Q/R/P/26/1045</v>
      </c>
      <c r="G872" s="3" t="str">
        <v>Taiba</v>
      </c>
      <c r="I872" s="3" t="str">
        <v>MLV</v>
      </c>
      <c r="J872" s="3" t="str">
        <v>Direct</v>
      </c>
    </row>
    <row r="873">
      <c r="A873" s="3">
        <v>45695</v>
      </c>
      <c r="B873" s="3" t="str">
        <v>N:New Quotation</v>
      </c>
      <c r="C873" s="3" t="str">
        <v>P:P&amp;I</v>
      </c>
      <c r="D873" s="3">
        <f>D872+1</f>
        <v>1046</v>
      </c>
      <c r="E873" s="3" t="str">
        <f>CONCAT("Q","/",LEFT(Table2[[#This Row],[Quotation Type]],1),"/", LEFT(Table2[[#This Row],[Branch]],1),"/", RIGHT(YEAR(TODAY()),2), "/",Table2[[#This Row],[Seq. Number]])</f>
        <v>Q/N/P/26/1046</v>
      </c>
      <c r="G873" s="3" t="str">
        <v>Mar 4</v>
      </c>
      <c r="I873" s="3" t="str">
        <v>GC</v>
      </c>
      <c r="J873" s="3" t="str">
        <v>Mesco</v>
      </c>
    </row>
    <row r="874">
      <c r="A874" s="3">
        <v>45699</v>
      </c>
      <c r="B874" s="3" t="str">
        <v>R:Renewal</v>
      </c>
      <c r="C874" s="3" t="str">
        <v>P:P&amp;I</v>
      </c>
      <c r="D874" s="3">
        <f>D873+1</f>
        <v>1047</v>
      </c>
      <c r="E874" s="3" t="str">
        <f>CONCAT("Q","/",LEFT(Table2[[#This Row],[Quotation Type]],1),"/", LEFT(Table2[[#This Row],[Branch]],1),"/", RIGHT(YEAR(TODAY()),2), "/",Table2[[#This Row],[Seq. Number]])</f>
        <v>Q/R/P/26/1047</v>
      </c>
      <c r="G874" s="3" t="str">
        <v>Majd B</v>
      </c>
      <c r="I874" s="3" t="str">
        <v>GC</v>
      </c>
      <c r="J874" s="3" t="str">
        <v>Alfamarine</v>
      </c>
    </row>
    <row r="875">
      <c r="A875" s="3">
        <v>45699</v>
      </c>
      <c r="B875" s="3" t="str">
        <v>R:Renewal</v>
      </c>
      <c r="C875" s="3" t="str">
        <v>P:P&amp;I</v>
      </c>
      <c r="D875" s="3">
        <f>D874+1</f>
        <v>1048</v>
      </c>
      <c r="E875" s="3" t="str">
        <f>CONCAT("Q","/",LEFT(Table2[[#This Row],[Quotation Type]],1),"/", LEFT(Table2[[#This Row],[Branch]],1),"/", RIGHT(YEAR(TODAY()),2), "/",Table2[[#This Row],[Seq. Number]])</f>
        <v>Q/R/P/26/1048</v>
      </c>
      <c r="G875" s="3" t="str">
        <v>Al Khdair</v>
      </c>
      <c r="I875" s="3" t="str">
        <v>MLV</v>
      </c>
      <c r="J875" s="3" t="str">
        <v>Observator</v>
      </c>
    </row>
    <row r="876">
      <c r="A876" s="3">
        <v>45699</v>
      </c>
      <c r="B876" s="3" t="str">
        <v>N:New Quotation</v>
      </c>
      <c r="C876" s="3" t="str">
        <v>H:Hull</v>
      </c>
      <c r="D876" s="3">
        <f>D875+1</f>
        <v>1049</v>
      </c>
      <c r="E876" s="3" t="str">
        <f>CONCAT("Q","/",LEFT(Table2[[#This Row],[Quotation Type]],1),"/", LEFT(Table2[[#This Row],[Branch]],1),"/", RIGHT(YEAR(TODAY()),2), "/",Table2[[#This Row],[Seq. Number]])</f>
        <v>Q/N/H/26/1049</v>
      </c>
      <c r="F876" s="3" t="str">
        <v>Straumberg</v>
      </c>
      <c r="G876" s="3" t="str">
        <v>Rizq 1</v>
      </c>
      <c r="I876" s="3" t="str">
        <v>Fishing Vessel</v>
      </c>
      <c r="J876" s="3" t="str">
        <v>Premium</v>
      </c>
    </row>
    <row r="877">
      <c r="A877" s="3">
        <v>45700</v>
      </c>
      <c r="B877" s="3" t="str">
        <v>N:New Quotation</v>
      </c>
      <c r="C877" s="3" t="str">
        <v>H:Hull</v>
      </c>
      <c r="D877" s="3">
        <f>D876+1</f>
        <v>1050</v>
      </c>
      <c r="E877" s="3" t="str">
        <f>CONCAT("Q","/",LEFT(Table2[[#This Row],[Quotation Type]],1),"/", LEFT(Table2[[#This Row],[Branch]],1),"/", RIGHT(YEAR(TODAY()),2), "/",Table2[[#This Row],[Seq. Number]])</f>
        <v>Q/N/H/26/1050</v>
      </c>
      <c r="G877" s="3" t="str">
        <v>Tatev</v>
      </c>
      <c r="I877" s="3" t="str">
        <v>Ore</v>
      </c>
      <c r="J877" s="3" t="str">
        <v>Kominsur</v>
      </c>
    </row>
    <row r="878">
      <c r="A878" s="3">
        <v>45700</v>
      </c>
      <c r="B878" s="3" t="str">
        <v>N:New Quotation</v>
      </c>
      <c r="C878" s="3" t="str">
        <v>P:P&amp;I</v>
      </c>
      <c r="D878" s="3">
        <f>D877+1</f>
        <v>1051</v>
      </c>
      <c r="E878" s="3" t="str">
        <f>CONCAT("Q","/",LEFT(Table2[[#This Row],[Quotation Type]],1),"/", LEFT(Table2[[#This Row],[Branch]],1),"/", RIGHT(YEAR(TODAY()),2), "/",Table2[[#This Row],[Seq. Number]])</f>
        <v>Q/N/P/26/1051</v>
      </c>
      <c r="G878" s="3" t="str">
        <v>Dan</v>
      </c>
      <c r="I878" s="3" t="str">
        <v>GC</v>
      </c>
      <c r="J878" s="3" t="str">
        <v>Profinsure</v>
      </c>
    </row>
    <row r="879">
      <c r="A879" s="3">
        <v>45701</v>
      </c>
      <c r="B879" s="3" t="str">
        <v>R:Renewal</v>
      </c>
      <c r="C879" s="3" t="str">
        <v>H:Hull</v>
      </c>
      <c r="D879" s="3">
        <f>D878+1</f>
        <v>1052</v>
      </c>
      <c r="E879" s="3" t="str">
        <f>CONCAT("Q","/",LEFT(Table2[[#This Row],[Quotation Type]],1),"/", LEFT(Table2[[#This Row],[Branch]],1),"/", RIGHT(YEAR(TODAY()),2), "/",Table2[[#This Row],[Seq. Number]])</f>
        <v>Q/R/H/26/1052</v>
      </c>
      <c r="G879" s="3" t="str">
        <v>Forever Happy</v>
      </c>
      <c r="I879" s="3" t="str">
        <v>BC</v>
      </c>
      <c r="J879" s="3" t="str">
        <v>City</v>
      </c>
    </row>
    <row r="880">
      <c r="A880" s="3">
        <v>45701</v>
      </c>
      <c r="B880" s="3" t="str">
        <v>N:New Quotation</v>
      </c>
      <c r="C880" s="3" t="str">
        <v>H:Hull</v>
      </c>
      <c r="D880" s="3">
        <f>D879+1</f>
        <v>1053</v>
      </c>
      <c r="E880" s="3" t="str">
        <f>CONCAT("Q","/",LEFT(Table2[[#This Row],[Quotation Type]],1),"/", LEFT(Table2[[#This Row],[Branch]],1),"/", RIGHT(YEAR(TODAY()),2), "/",Table2[[#This Row],[Seq. Number]])</f>
        <v>Q/N/H/26/1053</v>
      </c>
      <c r="F880" s="3" t="str">
        <v>Istanbul Shipyard</v>
      </c>
      <c r="I880" s="3" t="str">
        <v>O/T</v>
      </c>
      <c r="J880" s="3" t="str">
        <v>Lockton</v>
      </c>
    </row>
    <row r="881">
      <c r="A881" s="3">
        <v>45706</v>
      </c>
      <c r="B881" s="3" t="str">
        <v>R:Renewal</v>
      </c>
      <c r="C881" s="3" t="str">
        <v>H:Hull</v>
      </c>
      <c r="D881" s="3">
        <f>D880+1</f>
        <v>1054</v>
      </c>
      <c r="E881" s="3" t="str">
        <f>CONCAT("Q","/",LEFT(Table2[[#This Row],[Quotation Type]],1),"/", LEFT(Table2[[#This Row],[Branch]],1),"/", RIGHT(YEAR(TODAY()),2), "/",Table2[[#This Row],[Seq. Number]])</f>
        <v>Q/R/H/26/1054</v>
      </c>
      <c r="G881" s="3" t="str">
        <v>Maria Queen</v>
      </c>
      <c r="I881" s="3" t="str">
        <v>GC</v>
      </c>
      <c r="J881" s="3" t="str">
        <v>SSS</v>
      </c>
    </row>
    <row r="882">
      <c r="A882" s="3">
        <v>45706</v>
      </c>
      <c r="B882" s="3" t="str">
        <v>R:Renewal</v>
      </c>
      <c r="C882" s="3" t="str">
        <v>P:P&amp;I</v>
      </c>
      <c r="D882" s="3">
        <f>D881+1</f>
        <v>1055</v>
      </c>
      <c r="E882" s="3" t="str">
        <f>CONCAT("Q","/",LEFT(Table2[[#This Row],[Quotation Type]],1),"/", LEFT(Table2[[#This Row],[Branch]],1),"/", RIGHT(YEAR(TODAY()),2), "/",Table2[[#This Row],[Seq. Number]])</f>
        <v>Q/R/P/26/1055</v>
      </c>
      <c r="G882" s="3" t="str">
        <v>Maria Queen</v>
      </c>
      <c r="I882" s="3" t="str">
        <v>GC</v>
      </c>
      <c r="J882" s="3" t="str">
        <v>SSS</v>
      </c>
    </row>
    <row r="883">
      <c r="A883" s="3">
        <v>45706</v>
      </c>
      <c r="B883" s="3" t="str">
        <v>R:Renewal</v>
      </c>
      <c r="C883" s="3" t="str">
        <v>W:War</v>
      </c>
      <c r="D883" s="3">
        <f>D882+1</f>
        <v>1056</v>
      </c>
      <c r="E883" s="3" t="str">
        <f>CONCAT("Q","/",LEFT(Table2[[#This Row],[Quotation Type]],1),"/", LEFT(Table2[[#This Row],[Branch]],1),"/", RIGHT(YEAR(TODAY()),2), "/",Table2[[#This Row],[Seq. Number]])</f>
        <v>Q/R/W/26/1056</v>
      </c>
      <c r="G883" s="3" t="str">
        <v>Maria Queen</v>
      </c>
      <c r="I883" s="3" t="str">
        <v>GC</v>
      </c>
      <c r="J883" s="3" t="str">
        <v>SSS</v>
      </c>
    </row>
    <row r="884">
      <c r="A884" s="3">
        <v>45712</v>
      </c>
      <c r="B884" s="3" t="str">
        <v>N:New Quotation</v>
      </c>
      <c r="C884" s="3" t="str">
        <v>P:P&amp;I</v>
      </c>
      <c r="D884" s="3">
        <f>D883+1</f>
        <v>1057</v>
      </c>
      <c r="E884" s="3" t="str">
        <f>CONCAT("Q","/",LEFT(Table2[[#This Row],[Quotation Type]],1),"/", LEFT(Table2[[#This Row],[Branch]],1),"/", RIGHT(YEAR(TODAY()),2), "/",Table2[[#This Row],[Seq. Number]])</f>
        <v>Q/N/P/26/1057</v>
      </c>
      <c r="G884" s="3" t="str">
        <v>Clever</v>
      </c>
      <c r="I884" s="3" t="str">
        <v>GC</v>
      </c>
      <c r="J884" s="3" t="str">
        <v>Profinsure</v>
      </c>
    </row>
    <row r="885">
      <c r="A885" s="3">
        <v>45712</v>
      </c>
      <c r="B885" s="3" t="str">
        <v>N:New Quotation</v>
      </c>
      <c r="C885" s="3" t="str">
        <v>P:P&amp;I</v>
      </c>
      <c r="D885" s="3">
        <f>D884+1</f>
        <v>1058</v>
      </c>
      <c r="E885" s="3" t="str">
        <f>CONCAT("Q","/",LEFT(Table2[[#This Row],[Quotation Type]],1),"/", LEFT(Table2[[#This Row],[Branch]],1),"/", RIGHT(YEAR(TODAY()),2), "/",Table2[[#This Row],[Seq. Number]])</f>
        <v>Q/N/P/26/1058</v>
      </c>
      <c r="G885" s="3" t="str">
        <v>Clever</v>
      </c>
      <c r="I885" s="3" t="str">
        <v>GC</v>
      </c>
      <c r="J885" s="3" t="str">
        <v>Mesco</v>
      </c>
    </row>
    <row r="886">
      <c r="A886" s="3">
        <v>45712</v>
      </c>
      <c r="B886" s="3" t="str">
        <v>N:New Quotation</v>
      </c>
      <c r="C886" s="3" t="str">
        <v>P:P&amp;I</v>
      </c>
      <c r="D886" s="3">
        <f>D885+1</f>
        <v>1059</v>
      </c>
      <c r="E886" s="3" t="str">
        <f>CONCAT("Q","/",LEFT(Table2[[#This Row],[Quotation Type]],1),"/", LEFT(Table2[[#This Row],[Branch]],1),"/", RIGHT(YEAR(TODAY()),2), "/",Table2[[#This Row],[Seq. Number]])</f>
        <v>Q/N/P/26/1059</v>
      </c>
      <c r="G886" s="3" t="str">
        <v>SORMOVSKIY-123</v>
      </c>
      <c r="I886" s="3" t="str">
        <v>GC</v>
      </c>
      <c r="J886" s="3" t="str">
        <v>Profinsure</v>
      </c>
    </row>
    <row r="887">
      <c r="A887" s="3">
        <v>45712</v>
      </c>
      <c r="B887" s="3" t="str">
        <v>N:New Quotation</v>
      </c>
      <c r="C887" s="3" t="str">
        <v>P:P&amp;I</v>
      </c>
      <c r="D887" s="3">
        <f>D886+1</f>
        <v>1060</v>
      </c>
      <c r="E887" s="3" t="str">
        <f>CONCAT("Q","/",LEFT(Table2[[#This Row],[Quotation Type]],1),"/", LEFT(Table2[[#This Row],[Branch]],1),"/", RIGHT(YEAR(TODAY()),2), "/",Table2[[#This Row],[Seq. Number]])</f>
        <v>Q/N/P/26/1060</v>
      </c>
      <c r="G887" s="3" t="str">
        <v>Eladia Isabel</v>
      </c>
      <c r="I887" s="3" t="str">
        <v>GC</v>
      </c>
      <c r="J887" s="3" t="str">
        <v>SSS</v>
      </c>
    </row>
    <row r="888">
      <c r="A888" s="3">
        <v>45712</v>
      </c>
      <c r="B888" s="3" t="str">
        <v>N:New Quotation</v>
      </c>
      <c r="C888" s="3" t="str">
        <v>P:P&amp;I</v>
      </c>
      <c r="D888" s="3">
        <f>D887+1</f>
        <v>1061</v>
      </c>
      <c r="E888" s="3" t="str">
        <f>CONCAT("Q","/",LEFT(Table2[[#This Row],[Quotation Type]],1),"/", LEFT(Table2[[#This Row],[Branch]],1),"/", RIGHT(YEAR(TODAY()),2), "/",Table2[[#This Row],[Seq. Number]])</f>
        <v>Q/N/P/26/1061</v>
      </c>
      <c r="G888" s="3" t="str">
        <v>Zeebony</v>
      </c>
      <c r="I888" s="3" t="str">
        <v>GC</v>
      </c>
      <c r="J888" s="3" t="str">
        <v>Premium</v>
      </c>
    </row>
    <row r="889">
      <c r="A889" s="3">
        <v>45712</v>
      </c>
      <c r="B889" s="3" t="str">
        <v>N:New Quotation</v>
      </c>
      <c r="C889" s="3" t="str">
        <v>P:P&amp;I</v>
      </c>
      <c r="D889" s="3">
        <f>D888+1</f>
        <v>1062</v>
      </c>
      <c r="E889" s="3" t="str">
        <f>CONCAT("Q","/",LEFT(Table2[[#This Row],[Quotation Type]],1),"/", LEFT(Table2[[#This Row],[Branch]],1),"/", RIGHT(YEAR(TODAY()),2), "/",Table2[[#This Row],[Seq. Number]])</f>
        <v>Q/N/P/26/1062</v>
      </c>
      <c r="F889" s="3" t="str">
        <v>Med Star</v>
      </c>
      <c r="I889" s="3" t="str">
        <v>GC</v>
      </c>
      <c r="J889" s="3" t="str">
        <v>BMB</v>
      </c>
    </row>
    <row r="890">
      <c r="A890" s="3">
        <v>45713</v>
      </c>
      <c r="B890" s="3" t="str">
        <v>R:Renewal</v>
      </c>
      <c r="C890" s="3" t="str">
        <v>P:P&amp;I</v>
      </c>
      <c r="D890" s="3">
        <f>D889+1</f>
        <v>1063</v>
      </c>
      <c r="E890" s="3" t="str">
        <f>CONCAT("Q","/",LEFT(Table2[[#This Row],[Quotation Type]],1),"/", LEFT(Table2[[#This Row],[Branch]],1),"/", RIGHT(YEAR(TODAY()),2), "/",Table2[[#This Row],[Seq. Number]])</f>
        <v>Q/R/P/26/1063</v>
      </c>
      <c r="G890" s="3" t="str">
        <v>Mostafa B</v>
      </c>
      <c r="I890" s="3" t="str">
        <v>GC</v>
      </c>
      <c r="J890" s="3" t="str">
        <v>SSS</v>
      </c>
    </row>
    <row r="891">
      <c r="A891" s="3">
        <v>45714</v>
      </c>
      <c r="B891" s="3" t="str">
        <v>N:New Quotation</v>
      </c>
      <c r="C891" s="3" t="str">
        <v>P:P&amp;I</v>
      </c>
      <c r="D891" s="3">
        <f>D890+1</f>
        <v>1064</v>
      </c>
      <c r="E891" s="3" t="str">
        <f>CONCAT("Q","/",LEFT(Table2[[#This Row],[Quotation Type]],1),"/", LEFT(Table2[[#This Row],[Branch]],1),"/", RIGHT(YEAR(TODAY()),2), "/",Table2[[#This Row],[Seq. Number]])</f>
        <v>Q/N/P/26/1064</v>
      </c>
      <c r="G891" s="3" t="str">
        <v>DSK 1</v>
      </c>
      <c r="I891" s="3" t="str">
        <v>GC</v>
      </c>
      <c r="J891" s="3" t="str">
        <v>Observator</v>
      </c>
    </row>
    <row r="892">
      <c r="A892" s="3">
        <v>45714</v>
      </c>
      <c r="B892" s="3" t="str">
        <v>N:New Quotation</v>
      </c>
      <c r="C892" s="3" t="str">
        <v>P:P&amp;I</v>
      </c>
      <c r="D892" s="3">
        <f>D891+1</f>
        <v>1065</v>
      </c>
      <c r="E892" s="3" t="str">
        <f>CONCAT("Q","/",LEFT(Table2[[#This Row],[Quotation Type]],1),"/", LEFT(Table2[[#This Row],[Branch]],1),"/", RIGHT(YEAR(TODAY()),2), "/",Table2[[#This Row],[Seq. Number]])</f>
        <v>Q/N/P/26/1065</v>
      </c>
      <c r="G892" s="3" t="str">
        <v>AIA</v>
      </c>
      <c r="I892" s="3" t="str">
        <v>GC</v>
      </c>
      <c r="J892" s="3" t="str">
        <v>KM&amp;D</v>
      </c>
    </row>
    <row r="893">
      <c r="A893" s="3">
        <v>45714</v>
      </c>
      <c r="B893" s="3" t="str">
        <v>N:New Quotation</v>
      </c>
      <c r="C893" s="3" t="str">
        <v>P:P&amp;I</v>
      </c>
      <c r="D893" s="3">
        <f>D892+1</f>
        <v>1066</v>
      </c>
      <c r="E893" s="3" t="str">
        <f>CONCAT("Q","/",LEFT(Table2[[#This Row],[Quotation Type]],1),"/", LEFT(Table2[[#This Row],[Branch]],1),"/", RIGHT(YEAR(TODAY()),2), "/",Table2[[#This Row],[Seq. Number]])</f>
        <v>Q/N/P/26/1066</v>
      </c>
      <c r="G893" s="3" t="str">
        <v>AIA</v>
      </c>
      <c r="I893" s="3" t="str">
        <v>GC</v>
      </c>
      <c r="J893" s="3" t="str">
        <v>HH</v>
      </c>
    </row>
    <row r="894">
      <c r="A894" s="3">
        <v>45714</v>
      </c>
      <c r="B894" s="3" t="str">
        <v>N:New Quotation</v>
      </c>
      <c r="C894" s="3" t="str">
        <v>P:P&amp;I</v>
      </c>
      <c r="D894" s="3">
        <f>D893+1</f>
        <v>1067</v>
      </c>
      <c r="E894" s="3" t="str">
        <f>CONCAT("Q","/",LEFT(Table2[[#This Row],[Quotation Type]],1),"/", LEFT(Table2[[#This Row],[Branch]],1),"/", RIGHT(YEAR(TODAY()),2), "/",Table2[[#This Row],[Seq. Number]])</f>
        <v>Q/N/P/26/1067</v>
      </c>
      <c r="F894" s="3" t="str">
        <v>Nejm Marine Services</v>
      </c>
      <c r="I894" s="3" t="str">
        <v>GC</v>
      </c>
      <c r="J894" s="3" t="str">
        <v>BMB</v>
      </c>
    </row>
    <row r="895">
      <c r="A895" s="3">
        <v>45714</v>
      </c>
      <c r="B895" s="3" t="str">
        <v>N:New Quotation</v>
      </c>
      <c r="C895" s="3" t="str">
        <v>P:P&amp;I</v>
      </c>
      <c r="D895" s="3">
        <f>D894+1</f>
        <v>1068</v>
      </c>
      <c r="E895" s="3" t="str">
        <f>CONCAT("Q","/",LEFT(Table2[[#This Row],[Quotation Type]],1),"/", LEFT(Table2[[#This Row],[Branch]],1),"/", RIGHT(YEAR(TODAY()),2), "/",Table2[[#This Row],[Seq. Number]])</f>
        <v>Q/N/P/26/1068</v>
      </c>
      <c r="G895" s="3" t="str">
        <v>Al Jabara</v>
      </c>
      <c r="I895" s="3" t="str">
        <v>GC</v>
      </c>
      <c r="J895" s="3" t="str">
        <v>City</v>
      </c>
    </row>
    <row r="896">
      <c r="A896" s="3">
        <v>45715</v>
      </c>
      <c r="B896" s="3" t="str">
        <v>N:New Quotation</v>
      </c>
      <c r="C896" s="3" t="str">
        <v>P:P&amp;I</v>
      </c>
      <c r="D896" s="3">
        <f>D895+1</f>
        <v>1069</v>
      </c>
      <c r="E896" s="3" t="str">
        <f>CONCAT("Q","/",LEFT(Table2[[#This Row],[Quotation Type]],1),"/", LEFT(Table2[[#This Row],[Branch]],1),"/", RIGHT(YEAR(TODAY()),2), "/",Table2[[#This Row],[Seq. Number]])</f>
        <v>Q/N/P/26/1069</v>
      </c>
      <c r="G896" s="3" t="str">
        <v>Aya Zanoubya III</v>
      </c>
      <c r="I896" s="3" t="str">
        <v>GC</v>
      </c>
      <c r="J896" s="3" t="str">
        <v>SSS</v>
      </c>
    </row>
    <row r="897">
      <c r="A897" s="3">
        <v>45715</v>
      </c>
      <c r="B897" s="3" t="str">
        <v>N:New Quotation</v>
      </c>
      <c r="C897" s="3" t="str">
        <v>P:P&amp;I</v>
      </c>
      <c r="D897" s="3">
        <f>D896+1</f>
        <v>1070</v>
      </c>
      <c r="E897" s="3" t="str">
        <f>CONCAT("Q","/",LEFT(Table2[[#This Row],[Quotation Type]],1),"/", LEFT(Table2[[#This Row],[Branch]],1),"/", RIGHT(YEAR(TODAY()),2), "/",Table2[[#This Row],[Seq. Number]])</f>
        <v>Q/N/P/26/1070</v>
      </c>
      <c r="F897" s="3" t="str">
        <v>Nejm Marine Services</v>
      </c>
      <c r="G897" s="3" t="str">
        <v>Informed</v>
      </c>
      <c r="I897" s="3" t="str">
        <v>GC</v>
      </c>
      <c r="J897" s="3" t="str">
        <v>Profinsure</v>
      </c>
    </row>
    <row r="898">
      <c r="A898" s="3">
        <v>45716</v>
      </c>
      <c r="B898" s="3" t="str">
        <v>R:Renewal</v>
      </c>
      <c r="C898" s="3" t="str">
        <v>P:P&amp;I</v>
      </c>
      <c r="D898" s="3">
        <f>D897+1</f>
        <v>1071</v>
      </c>
      <c r="E898" s="3" t="str">
        <f>CONCAT("Q","/",LEFT(Table2[[#This Row],[Quotation Type]],1),"/", LEFT(Table2[[#This Row],[Branch]],1),"/", RIGHT(YEAR(TODAY()),2), "/",Table2[[#This Row],[Seq. Number]])</f>
        <v>Q/R/P/26/1071</v>
      </c>
      <c r="G898" s="3" t="str">
        <v>Anadolu</v>
      </c>
      <c r="I898" s="3" t="str">
        <v>GC</v>
      </c>
      <c r="J898" s="3" t="str">
        <v>Kuzey</v>
      </c>
    </row>
    <row r="899">
      <c r="A899" s="3">
        <v>45719</v>
      </c>
      <c r="B899" s="3" t="str">
        <v>N:New Quotation</v>
      </c>
      <c r="C899" s="3" t="str">
        <v>P:P&amp;I</v>
      </c>
      <c r="D899" s="3">
        <f>D898+1</f>
        <v>1072</v>
      </c>
      <c r="E899" s="3" t="str">
        <f>CONCAT("Q","/",LEFT(Table2[[#This Row],[Quotation Type]],1),"/", LEFT(Table2[[#This Row],[Branch]],1),"/", RIGHT(YEAR(TODAY()),2), "/",Table2[[#This Row],[Seq. Number]])</f>
        <v>Q/N/P/26/1072</v>
      </c>
      <c r="G899" s="3" t="str">
        <v>Baltavia</v>
      </c>
      <c r="I899" s="3" t="str">
        <v>Ro-Ro</v>
      </c>
      <c r="J899" s="3" t="str">
        <v>HH</v>
      </c>
    </row>
    <row r="900">
      <c r="A900" s="3">
        <v>45720</v>
      </c>
      <c r="B900" s="3" t="str">
        <v>R:Renewal</v>
      </c>
      <c r="C900" s="3" t="str">
        <v>P:P&amp;I</v>
      </c>
      <c r="D900" s="3">
        <f>D899+1</f>
        <v>1073</v>
      </c>
      <c r="E900" s="3" t="str">
        <f>CONCAT("Q","/",LEFT(Table2[[#This Row],[Quotation Type]],1),"/", LEFT(Table2[[#This Row],[Branch]],1),"/", RIGHT(YEAR(TODAY()),2), "/",Table2[[#This Row],[Seq. Number]])</f>
        <v>Q/R/P/26/1073</v>
      </c>
      <c r="G900" s="3" t="str">
        <v>Neameh</v>
      </c>
      <c r="I900" s="3" t="str">
        <v>MLV</v>
      </c>
      <c r="J900" s="3" t="str">
        <v>Observator</v>
      </c>
    </row>
    <row r="901">
      <c r="A901" s="3">
        <v>45720</v>
      </c>
      <c r="B901" s="3" t="str">
        <v>R:Renewal</v>
      </c>
      <c r="C901" s="3" t="str">
        <v>P:P&amp;I</v>
      </c>
      <c r="D901" s="3">
        <f>D900+1</f>
        <v>1074</v>
      </c>
      <c r="E901" s="3" t="str">
        <f>CONCAT("Q","/",LEFT(Table2[[#This Row],[Quotation Type]],1),"/", LEFT(Table2[[#This Row],[Branch]],1),"/", RIGHT(YEAR(TODAY()),2), "/",Table2[[#This Row],[Seq. Number]])</f>
        <v>Q/R/P/26/1074</v>
      </c>
      <c r="F901" s="3" t="str">
        <v>Victory Marine Services</v>
      </c>
      <c r="I901" s="3" t="str">
        <v>GC</v>
      </c>
      <c r="J901" s="3" t="str">
        <v>Ferrari</v>
      </c>
    </row>
    <row r="902">
      <c r="A902" s="3">
        <v>45720</v>
      </c>
      <c r="B902" s="3" t="str">
        <v>R:Renewal</v>
      </c>
      <c r="C902" s="3" t="str">
        <v>F:FD&amp;D</v>
      </c>
      <c r="D902" s="3">
        <f>D901+1</f>
        <v>1075</v>
      </c>
      <c r="E902" s="3" t="str">
        <f>CONCAT("Q","/",LEFT(Table2[[#This Row],[Quotation Type]],1),"/", LEFT(Table2[[#This Row],[Branch]],1),"/", RIGHT(YEAR(TODAY()),2), "/",Table2[[#This Row],[Seq. Number]])</f>
        <v>Q/R/F/26/1075</v>
      </c>
      <c r="F902" s="3" t="str">
        <v>Victory Marine Services</v>
      </c>
      <c r="I902" s="3" t="str">
        <v>GC</v>
      </c>
      <c r="J902" s="3" t="str">
        <v>Ferrari</v>
      </c>
    </row>
    <row r="903">
      <c r="A903" s="3">
        <v>45721</v>
      </c>
      <c r="B903" s="3" t="str">
        <v>R:Renewal</v>
      </c>
      <c r="C903" s="3" t="str">
        <v>H:Hull</v>
      </c>
      <c r="D903" s="3">
        <f>D902+1</f>
        <v>1076</v>
      </c>
      <c r="E903" s="3" t="str">
        <f>CONCAT("Q","/",LEFT(Table2[[#This Row],[Quotation Type]],1),"/", LEFT(Table2[[#This Row],[Branch]],1),"/", RIGHT(YEAR(TODAY()),2), "/",Table2[[#This Row],[Seq. Number]])</f>
        <v>Q/R/H/26/1076</v>
      </c>
      <c r="G903" s="3" t="str">
        <v>Asmaa</v>
      </c>
      <c r="I903" s="3" t="str">
        <v>BC</v>
      </c>
      <c r="J903" s="3" t="str">
        <v>SSS</v>
      </c>
    </row>
    <row r="904">
      <c r="A904" s="3">
        <v>45721</v>
      </c>
      <c r="B904" s="3" t="str">
        <v>R:Renewal</v>
      </c>
      <c r="C904" s="3" t="str">
        <v>W:War</v>
      </c>
      <c r="D904" s="3">
        <f>D903+1</f>
        <v>1077</v>
      </c>
      <c r="E904" s="3" t="str">
        <f>CONCAT("Q","/",LEFT(Table2[[#This Row],[Quotation Type]],1),"/", LEFT(Table2[[#This Row],[Branch]],1),"/", RIGHT(YEAR(TODAY()),2), "/",Table2[[#This Row],[Seq. Number]])</f>
        <v>Q/R/W/26/1077</v>
      </c>
      <c r="G904" s="3" t="str">
        <v>Asmaa</v>
      </c>
      <c r="I904" s="3" t="str">
        <v>BC</v>
      </c>
      <c r="J904" s="3" t="str">
        <v>SSS</v>
      </c>
    </row>
    <row r="905">
      <c r="A905" s="3">
        <v>45721</v>
      </c>
      <c r="B905" s="3" t="str">
        <v>N:New Quotation</v>
      </c>
      <c r="C905" s="3" t="str">
        <v>H:Hull</v>
      </c>
      <c r="D905" s="3">
        <f>D904+1</f>
        <v>1078</v>
      </c>
      <c r="E905" s="3" t="str">
        <f>CONCAT("Q","/",LEFT(Table2[[#This Row],[Quotation Type]],1),"/", LEFT(Table2[[#This Row],[Branch]],1),"/", RIGHT(YEAR(TODAY()),2), "/",Table2[[#This Row],[Seq. Number]])</f>
        <v>Q/N/H/26/1078</v>
      </c>
      <c r="G905" s="3" t="str">
        <v>Momentum Phonix</v>
      </c>
      <c r="I905" s="3" t="str">
        <v>BC</v>
      </c>
      <c r="J905" s="3" t="str">
        <v>Mesco</v>
      </c>
    </row>
    <row r="906">
      <c r="A906" s="3">
        <v>45723</v>
      </c>
      <c r="B906" s="3" t="str">
        <v>R:Renewal</v>
      </c>
      <c r="C906" s="3" t="str">
        <v>H:Hull</v>
      </c>
      <c r="D906" s="3">
        <f>D905+1</f>
        <v>1079</v>
      </c>
      <c r="E906" s="3" t="str">
        <f>CONCAT("Q","/",LEFT(Table2[[#This Row],[Quotation Type]],1),"/", LEFT(Table2[[#This Row],[Branch]],1),"/", RIGHT(YEAR(TODAY()),2), "/",Table2[[#This Row],[Seq. Number]])</f>
        <v>Q/R/H/26/1079</v>
      </c>
      <c r="G906" s="3" t="str">
        <v>MN Leo</v>
      </c>
      <c r="I906" s="3" t="str">
        <v>GC</v>
      </c>
      <c r="J906" s="3" t="str">
        <v>SSS</v>
      </c>
    </row>
    <row r="907">
      <c r="A907" s="3">
        <v>45723</v>
      </c>
      <c r="B907" s="3" t="str">
        <v>R:Renewal</v>
      </c>
      <c r="C907" s="3" t="str">
        <v>P:P&amp;I</v>
      </c>
      <c r="D907" s="3">
        <f>D906+1</f>
        <v>1080</v>
      </c>
      <c r="E907" s="3" t="str">
        <f>CONCAT("Q","/",LEFT(Table2[[#This Row],[Quotation Type]],1),"/", LEFT(Table2[[#This Row],[Branch]],1),"/", RIGHT(YEAR(TODAY()),2), "/",Table2[[#This Row],[Seq. Number]])</f>
        <v>Q/R/P/26/1080</v>
      </c>
      <c r="G907" s="3" t="str">
        <v>Prince Ezz</v>
      </c>
      <c r="I907" s="3" t="str">
        <v>GC</v>
      </c>
      <c r="J907" s="3" t="str">
        <v>Direct</v>
      </c>
    </row>
    <row r="908">
      <c r="A908" s="3">
        <v>45723</v>
      </c>
      <c r="B908" s="3" t="str">
        <v>R:Renewal</v>
      </c>
      <c r="C908" s="3" t="str">
        <v>P:P&amp;I</v>
      </c>
      <c r="D908" s="3">
        <f>D907+1</f>
        <v>1081</v>
      </c>
      <c r="E908" s="3" t="str">
        <f>CONCAT("Q","/",LEFT(Table2[[#This Row],[Quotation Type]],1),"/", LEFT(Table2[[#This Row],[Branch]],1),"/", RIGHT(YEAR(TODAY()),2), "/",Table2[[#This Row],[Seq. Number]])</f>
        <v>Q/R/P/26/1081</v>
      </c>
      <c r="F908" s="3" t="str">
        <v>Polar Movement</v>
      </c>
      <c r="I908" s="3" t="str">
        <v>GC</v>
      </c>
      <c r="J908" s="3" t="str">
        <v>Kuzey</v>
      </c>
    </row>
    <row r="909">
      <c r="A909" s="3">
        <v>45723</v>
      </c>
      <c r="B909" s="3" t="str">
        <v>R:Renewal</v>
      </c>
      <c r="C909" s="3" t="str">
        <v>H:Hull</v>
      </c>
      <c r="D909" s="3">
        <f>D908+1</f>
        <v>1082</v>
      </c>
      <c r="E909" s="3" t="str">
        <f>CONCAT("Q","/",LEFT(Table2[[#This Row],[Quotation Type]],1),"/", LEFT(Table2[[#This Row],[Branch]],1),"/", RIGHT(YEAR(TODAY()),2), "/",Table2[[#This Row],[Seq. Number]])</f>
        <v>Q/R/H/26/1082</v>
      </c>
      <c r="G909" s="3" t="str">
        <v>Lata 1</v>
      </c>
      <c r="I909" s="3" t="str">
        <v>GC</v>
      </c>
      <c r="J909" s="3" t="str">
        <v>Newberry</v>
      </c>
    </row>
    <row r="910">
      <c r="A910" s="3">
        <v>45727</v>
      </c>
      <c r="B910" s="3" t="str">
        <v>N:New Quotation</v>
      </c>
      <c r="C910" s="3" t="str">
        <v>H:Hull</v>
      </c>
      <c r="D910" s="3">
        <f>D909+1</f>
        <v>1083</v>
      </c>
      <c r="E910" s="3" t="str">
        <f>CONCAT("Q","/",LEFT(Table2[[#This Row],[Quotation Type]],1),"/", LEFT(Table2[[#This Row],[Branch]],1),"/", RIGHT(YEAR(TODAY()),2), "/",Table2[[#This Row],[Seq. Number]])</f>
        <v>Q/N/H/26/1083</v>
      </c>
      <c r="G910" s="3" t="str">
        <v>KG7</v>
      </c>
      <c r="I910" s="3" t="str">
        <v>O/T</v>
      </c>
      <c r="J910" s="3" t="str">
        <v>Newberry</v>
      </c>
    </row>
    <row r="911">
      <c r="A911" s="3">
        <v>45727</v>
      </c>
      <c r="B911" s="3" t="str">
        <v>N:New Quotation</v>
      </c>
      <c r="C911" s="3" t="str">
        <v>H:Hull</v>
      </c>
      <c r="D911" s="3">
        <f>D910+1</f>
        <v>1084</v>
      </c>
      <c r="E911" s="3" t="str">
        <f>CONCAT("Q","/",LEFT(Table2[[#This Row],[Quotation Type]],1),"/", LEFT(Table2[[#This Row],[Branch]],1),"/", RIGHT(YEAR(TODAY()),2), "/",Table2[[#This Row],[Seq. Number]])</f>
        <v>Q/N/H/26/1084</v>
      </c>
      <c r="G911" s="3" t="str">
        <v>Navis</v>
      </c>
      <c r="I911" s="3" t="str">
        <v>BC</v>
      </c>
      <c r="J911" s="3" t="str">
        <v>City</v>
      </c>
    </row>
    <row r="912">
      <c r="A912" s="3">
        <v>45727</v>
      </c>
      <c r="B912" s="3" t="str">
        <v>N:New Quotation</v>
      </c>
      <c r="C912" s="3" t="str">
        <v>W:War</v>
      </c>
      <c r="D912" s="3">
        <f>D911+1</f>
        <v>1085</v>
      </c>
      <c r="E912" s="3" t="str">
        <f>CONCAT("Q","/",LEFT(Table2[[#This Row],[Quotation Type]],1),"/", LEFT(Table2[[#This Row],[Branch]],1),"/", RIGHT(YEAR(TODAY()),2), "/",Table2[[#This Row],[Seq. Number]])</f>
        <v>Q/N/W/26/1085</v>
      </c>
      <c r="G912" s="3" t="str">
        <v>Navis</v>
      </c>
      <c r="I912" s="3" t="str">
        <v>BC</v>
      </c>
      <c r="J912" s="3" t="str">
        <v>City</v>
      </c>
    </row>
    <row r="913">
      <c r="A913" s="3">
        <v>45727</v>
      </c>
      <c r="B913" s="3" t="str">
        <v>N:New Quotation</v>
      </c>
      <c r="C913" s="3" t="str">
        <v>P:P&amp;I</v>
      </c>
      <c r="D913" s="3">
        <f>D912+1</f>
        <v>1086</v>
      </c>
      <c r="E913" s="3" t="str">
        <f>CONCAT("Q","/",LEFT(Table2[[#This Row],[Quotation Type]],1),"/", LEFT(Table2[[#This Row],[Branch]],1),"/", RIGHT(YEAR(TODAY()),2), "/",Table2[[#This Row],[Seq. Number]])</f>
        <v>Q/N/P/26/1086</v>
      </c>
      <c r="G913" s="3" t="str">
        <v>Toro</v>
      </c>
      <c r="I913" s="3" t="str">
        <v>GC</v>
      </c>
      <c r="J913" s="3" t="str">
        <v>Kuzey</v>
      </c>
    </row>
    <row r="914">
      <c r="A914" s="3">
        <v>45728</v>
      </c>
      <c r="B914" s="3" t="str">
        <v>N:New Quotation</v>
      </c>
      <c r="C914" s="3" t="str">
        <v>H:Hull</v>
      </c>
      <c r="D914" s="3">
        <f>D913+1</f>
        <v>1087</v>
      </c>
      <c r="E914" s="3" t="str">
        <f>CONCAT("Q","/",LEFT(Table2[[#This Row],[Quotation Type]],1),"/", LEFT(Table2[[#This Row],[Branch]],1),"/", RIGHT(YEAR(TODAY()),2), "/",Table2[[#This Row],[Seq. Number]])</f>
        <v>Q/N/H/26/1087</v>
      </c>
      <c r="G914" s="3" t="str">
        <v>Enable</v>
      </c>
      <c r="I914" s="3" t="str">
        <v>BC</v>
      </c>
      <c r="J914" s="3" t="str">
        <v>City</v>
      </c>
    </row>
    <row r="915">
      <c r="A915" s="3">
        <v>45729</v>
      </c>
      <c r="B915" s="3" t="str">
        <v>R:Renewal</v>
      </c>
      <c r="C915" s="3" t="str">
        <v>H:Hull</v>
      </c>
      <c r="D915" s="3">
        <f>D914+1</f>
        <v>1088</v>
      </c>
      <c r="E915" s="3" t="str">
        <f>CONCAT("Q","/",LEFT(Table2[[#This Row],[Quotation Type]],1),"/", LEFT(Table2[[#This Row],[Branch]],1),"/", RIGHT(YEAR(TODAY()),2), "/",Table2[[#This Row],[Seq. Number]])</f>
        <v>Q/R/H/26/1088</v>
      </c>
      <c r="G915" s="3" t="str">
        <v>MN Glory</v>
      </c>
      <c r="I915" s="3" t="str">
        <v>GC</v>
      </c>
      <c r="J915" s="3" t="str">
        <v>SSS</v>
      </c>
    </row>
    <row r="916">
      <c r="A916" s="3">
        <v>45729</v>
      </c>
      <c r="B916" s="3" t="str">
        <v>R:Renewal</v>
      </c>
      <c r="C916" s="3" t="str">
        <v>P:P&amp;I</v>
      </c>
      <c r="D916" s="3">
        <f>D915+1</f>
        <v>1089</v>
      </c>
      <c r="E916" s="3" t="str">
        <f>CONCAT("Q","/",LEFT(Table2[[#This Row],[Quotation Type]],1),"/", LEFT(Table2[[#This Row],[Branch]],1),"/", RIGHT(YEAR(TODAY()),2), "/",Table2[[#This Row],[Seq. Number]])</f>
        <v>Q/R/P/26/1089</v>
      </c>
      <c r="F916" s="3" t="str">
        <v>JMM Maritime</v>
      </c>
      <c r="I916" s="3" t="str">
        <v>GC</v>
      </c>
      <c r="J916" s="3" t="str">
        <v>Direct</v>
      </c>
    </row>
    <row r="917">
      <c r="A917" s="3">
        <v>45729</v>
      </c>
      <c r="B917" s="3" t="str">
        <v>R:Renewal</v>
      </c>
      <c r="C917" s="3" t="str">
        <v>P:P&amp;I</v>
      </c>
      <c r="D917" s="3">
        <f>D916+1</f>
        <v>1090</v>
      </c>
      <c r="E917" s="3" t="str">
        <f>CONCAT("Q","/",LEFT(Table2[[#This Row],[Quotation Type]],1),"/", LEFT(Table2[[#This Row],[Branch]],1),"/", RIGHT(YEAR(TODAY()),2), "/",Table2[[#This Row],[Seq. Number]])</f>
        <v>Q/R/P/26/1090</v>
      </c>
      <c r="G917" s="3" t="str">
        <v>Sitia</v>
      </c>
      <c r="I917" s="3" t="str">
        <v>GC</v>
      </c>
      <c r="J917" s="3" t="str">
        <v>Direct</v>
      </c>
    </row>
    <row r="918">
      <c r="A918" s="3">
        <v>45730</v>
      </c>
      <c r="B918" s="3" t="str">
        <v>N:New Quotation</v>
      </c>
      <c r="C918" s="3" t="str">
        <v>H:Hull</v>
      </c>
      <c r="D918" s="3">
        <f>D917+1</f>
        <v>1091</v>
      </c>
      <c r="E918" s="3" t="str">
        <f>CONCAT("Q","/",LEFT(Table2[[#This Row],[Quotation Type]],1),"/", LEFT(Table2[[#This Row],[Branch]],1),"/", RIGHT(YEAR(TODAY()),2), "/",Table2[[#This Row],[Seq. Number]])</f>
        <v>Q/N/H/26/1091</v>
      </c>
      <c r="G918" s="3" t="str">
        <v>Caio Bella</v>
      </c>
      <c r="I918" s="3" t="str">
        <v>C/T</v>
      </c>
      <c r="J918" s="3" t="str">
        <v>City</v>
      </c>
    </row>
    <row r="919">
      <c r="A919" s="3">
        <v>45730</v>
      </c>
      <c r="B919" s="3" t="str">
        <v>R:Renewal</v>
      </c>
      <c r="C919" s="3" t="str">
        <v>P:P&amp;I</v>
      </c>
      <c r="D919" s="3">
        <f>D918+1</f>
        <v>1092</v>
      </c>
      <c r="E919" s="3" t="str">
        <f>CONCAT("Q","/",LEFT(Table2[[#This Row],[Quotation Type]],1),"/", LEFT(Table2[[#This Row],[Branch]],1),"/", RIGHT(YEAR(TODAY()),2), "/",Table2[[#This Row],[Seq. Number]])</f>
        <v>Q/R/P/26/1092</v>
      </c>
      <c r="G919" s="3" t="str">
        <v>Roaa Queen</v>
      </c>
      <c r="I919" s="3" t="str">
        <v>GC</v>
      </c>
      <c r="J919" s="3" t="str">
        <v>Direct</v>
      </c>
    </row>
    <row r="920">
      <c r="A920" s="3">
        <v>45735</v>
      </c>
      <c r="B920" s="3" t="str">
        <v>R:Renewal</v>
      </c>
      <c r="C920" s="3" t="str">
        <v>P:P&amp;I</v>
      </c>
      <c r="D920" s="3">
        <f>D919+1</f>
        <v>1093</v>
      </c>
      <c r="E920" s="3" t="str">
        <f>CONCAT("Q","/",LEFT(Table2[[#This Row],[Quotation Type]],1),"/", LEFT(Table2[[#This Row],[Branch]],1),"/", RIGHT(YEAR(TODAY()),2), "/",Table2[[#This Row],[Seq. Number]])</f>
        <v>Q/R/P/26/1093</v>
      </c>
      <c r="G920" s="3" t="str">
        <v>Akdeniz</v>
      </c>
      <c r="I920" s="3" t="str">
        <v>GC</v>
      </c>
      <c r="J920" s="3" t="str">
        <v>Kuzey</v>
      </c>
    </row>
    <row r="921">
      <c r="A921" s="3">
        <v>45735</v>
      </c>
      <c r="B921" s="3" t="str">
        <v>R:Renewal</v>
      </c>
      <c r="C921" s="3" t="str">
        <v>H:Hull</v>
      </c>
      <c r="D921" s="3">
        <f>D920+1</f>
        <v>1094</v>
      </c>
      <c r="E921" s="3" t="str">
        <f>CONCAT("Q","/",LEFT(Table2[[#This Row],[Quotation Type]],1),"/", LEFT(Table2[[#This Row],[Branch]],1),"/", RIGHT(YEAR(TODAY()),2), "/",Table2[[#This Row],[Seq. Number]])</f>
        <v>Q/R/H/26/1094</v>
      </c>
      <c r="G921" s="3" t="str">
        <v>Akdeniz</v>
      </c>
      <c r="I921" s="3" t="str">
        <v>GC</v>
      </c>
      <c r="J921" s="3" t="str">
        <v>Kuzey</v>
      </c>
    </row>
    <row r="922">
      <c r="A922" s="3">
        <v>45735</v>
      </c>
      <c r="B922" s="3" t="str">
        <v>R:Renewal</v>
      </c>
      <c r="C922" s="3" t="str">
        <v>W:War</v>
      </c>
      <c r="D922" s="3">
        <f>D921+1</f>
        <v>1095</v>
      </c>
      <c r="E922" s="3" t="str">
        <f>CONCAT("Q","/",LEFT(Table2[[#This Row],[Quotation Type]],1),"/", LEFT(Table2[[#This Row],[Branch]],1),"/", RIGHT(YEAR(TODAY()),2), "/",Table2[[#This Row],[Seq. Number]])</f>
        <v>Q/R/W/26/1095</v>
      </c>
      <c r="G922" s="3" t="str">
        <v>Akdeniz</v>
      </c>
      <c r="I922" s="3" t="str">
        <v>GC</v>
      </c>
      <c r="J922" s="3" t="str">
        <v>Kuzey</v>
      </c>
    </row>
    <row r="923">
      <c r="A923" s="3">
        <v>45736</v>
      </c>
      <c r="B923" s="3" t="str">
        <v>N:New Quotation</v>
      </c>
      <c r="C923" s="3" t="str">
        <v>P:P&amp;I</v>
      </c>
      <c r="D923" s="3">
        <f>D922+1</f>
        <v>1096</v>
      </c>
      <c r="E923" s="3" t="str">
        <f>CONCAT("Q","/",LEFT(Table2[[#This Row],[Quotation Type]],1),"/", LEFT(Table2[[#This Row],[Branch]],1),"/", RIGHT(YEAR(TODAY()),2), "/",Table2[[#This Row],[Seq. Number]])</f>
        <v>Q/N/P/26/1096</v>
      </c>
      <c r="F923" s="3" t="str">
        <v>Observator</v>
      </c>
      <c r="I923" s="3" t="str">
        <v>GC</v>
      </c>
      <c r="J923" s="3" t="str">
        <v>Ferrari</v>
      </c>
    </row>
    <row r="924">
      <c r="A924" s="3">
        <v>45737</v>
      </c>
      <c r="B924" s="3" t="str">
        <v>N:New Quotation</v>
      </c>
      <c r="C924" s="3" t="str">
        <v>H:Hull</v>
      </c>
      <c r="D924" s="3">
        <f>D923+1</f>
        <v>1097</v>
      </c>
      <c r="E924" s="3" t="str">
        <f>CONCAT("Q","/",LEFT(Table2[[#This Row],[Quotation Type]],1),"/", LEFT(Table2[[#This Row],[Branch]],1),"/", RIGHT(YEAR(TODAY()),2), "/",Table2[[#This Row],[Seq. Number]])</f>
        <v>Q/N/H/26/1097</v>
      </c>
      <c r="G924" s="3" t="str">
        <v>Valle Di Cordoba</v>
      </c>
      <c r="I924" s="3" t="str">
        <v>C/T</v>
      </c>
      <c r="J924" s="3" t="str">
        <v>City</v>
      </c>
    </row>
    <row r="925">
      <c r="A925" s="3">
        <v>45742</v>
      </c>
      <c r="B925" s="3" t="str">
        <v>N:New Quotation</v>
      </c>
      <c r="C925" s="3" t="str">
        <v>W:War</v>
      </c>
      <c r="D925" s="3">
        <f>D924+1</f>
        <v>1098</v>
      </c>
      <c r="E925" s="3" t="str">
        <f>CONCAT("Q","/",LEFT(Table2[[#This Row],[Quotation Type]],1),"/", LEFT(Table2[[#This Row],[Branch]],1),"/", RIGHT(YEAR(TODAY()),2), "/",Table2[[#This Row],[Seq. Number]])</f>
        <v>Q/N/W/26/1098</v>
      </c>
      <c r="G925" s="3" t="str">
        <v>Valle Di Cordoba</v>
      </c>
      <c r="I925" s="3" t="str">
        <v>C/T</v>
      </c>
      <c r="J925" s="3" t="str">
        <v>City</v>
      </c>
    </row>
    <row r="926">
      <c r="A926" s="3">
        <v>45742</v>
      </c>
      <c r="B926" s="3" t="str">
        <v>N:New Quotation</v>
      </c>
      <c r="C926" s="3" t="str">
        <v>P:P&amp;I</v>
      </c>
      <c r="D926" s="3">
        <f>D925+1</f>
        <v>1099</v>
      </c>
      <c r="E926" s="3" t="str">
        <f>CONCAT("Q","/",LEFT(Table2[[#This Row],[Quotation Type]],1),"/", LEFT(Table2[[#This Row],[Branch]],1),"/", RIGHT(YEAR(TODAY()),2), "/",Table2[[#This Row],[Seq. Number]])</f>
        <v>Q/N/P/26/1099</v>
      </c>
      <c r="G926" s="3" t="str">
        <v>Everest</v>
      </c>
      <c r="I926" s="3" t="str">
        <v>GC</v>
      </c>
      <c r="J926" s="3" t="str">
        <v>Kuzey</v>
      </c>
    </row>
    <row r="927">
      <c r="A927" s="3">
        <v>45743</v>
      </c>
      <c r="B927" s="3" t="str">
        <v>R:Renewal</v>
      </c>
      <c r="C927" s="3" t="str">
        <v>P:P&amp;I</v>
      </c>
      <c r="D927" s="3">
        <f>D926+1</f>
        <v>1100</v>
      </c>
      <c r="E927" s="3" t="str">
        <f>CONCAT("Q","/",LEFT(Table2[[#This Row],[Quotation Type]],1),"/", LEFT(Table2[[#This Row],[Branch]],1),"/", RIGHT(YEAR(TODAY()),2), "/",Table2[[#This Row],[Seq. Number]])</f>
        <v>Q/R/P/26/1100</v>
      </c>
      <c r="G927" s="3" t="str">
        <v>MSG4</v>
      </c>
      <c r="I927" s="3" t="str">
        <v>GC</v>
      </c>
      <c r="J927" s="3" t="str">
        <v>GMCG</v>
      </c>
    </row>
    <row r="928">
      <c r="A928" s="3">
        <v>45743</v>
      </c>
      <c r="B928" s="3" t="str">
        <v>N:New Quotation</v>
      </c>
      <c r="C928" s="3" t="str">
        <v>P:P&amp;I</v>
      </c>
      <c r="D928" s="3">
        <f>D927+1</f>
        <v>1101</v>
      </c>
      <c r="E928" s="3" t="str">
        <f>CONCAT("Q","/",LEFT(Table2[[#This Row],[Quotation Type]],1),"/", LEFT(Table2[[#This Row],[Branch]],1),"/", RIGHT(YEAR(TODAY()),2), "/",Table2[[#This Row],[Seq. Number]])</f>
        <v>Q/N/P/26/1101</v>
      </c>
      <c r="G928" s="3" t="str">
        <v>Fuguo</v>
      </c>
      <c r="I928" s="3" t="str">
        <v>MLV</v>
      </c>
      <c r="J928" s="3" t="str">
        <v>Ferrari</v>
      </c>
    </row>
    <row r="929">
      <c r="A929" s="3">
        <v>45743</v>
      </c>
      <c r="B929" s="3" t="str">
        <v>N:New Quotation</v>
      </c>
      <c r="C929" s="3" t="str">
        <v>P:P&amp;I</v>
      </c>
      <c r="D929" s="3">
        <f>D928+1</f>
        <v>1102</v>
      </c>
      <c r="E929" s="3" t="str">
        <f>CONCAT("Q","/",LEFT(Table2[[#This Row],[Quotation Type]],1),"/", LEFT(Table2[[#This Row],[Branch]],1),"/", RIGHT(YEAR(TODAY()),2), "/",Table2[[#This Row],[Seq. Number]])</f>
        <v>Q/N/P/26/1102</v>
      </c>
      <c r="G929" s="3" t="str">
        <v>Master Alpha</v>
      </c>
      <c r="I929" s="3" t="str">
        <v>GC</v>
      </c>
      <c r="J929" s="3" t="str">
        <v>BMB</v>
      </c>
    </row>
    <row r="930">
      <c r="A930" s="3">
        <v>45750</v>
      </c>
      <c r="B930" s="3" t="str">
        <v>R:Renewal</v>
      </c>
      <c r="C930" s="3" t="str">
        <v>P:P&amp;I</v>
      </c>
      <c r="D930" s="3">
        <f>D929+1</f>
        <v>1103</v>
      </c>
      <c r="E930" s="3" t="str">
        <f>CONCAT("Q","/",LEFT(Table2[[#This Row],[Quotation Type]],1),"/", LEFT(Table2[[#This Row],[Branch]],1),"/", RIGHT(YEAR(TODAY()),2), "/",Table2[[#This Row],[Seq. Number]])</f>
        <v>Q/R/P/26/1103</v>
      </c>
      <c r="G930" s="3" t="str">
        <v>Greenway II</v>
      </c>
      <c r="I930" s="3" t="str">
        <v>GC</v>
      </c>
      <c r="J930" s="3" t="str">
        <v>GMS</v>
      </c>
    </row>
    <row r="931">
      <c r="A931" s="3">
        <v>45750</v>
      </c>
      <c r="B931" s="3" t="str">
        <v>R:Renewal</v>
      </c>
      <c r="C931" s="3" t="str">
        <v>H:Hull</v>
      </c>
      <c r="D931" s="3">
        <f>D930+1</f>
        <v>1104</v>
      </c>
      <c r="E931" s="3" t="str">
        <f>CONCAT("Q","/",LEFT(Table2[[#This Row],[Quotation Type]],1),"/", LEFT(Table2[[#This Row],[Branch]],1),"/", RIGHT(YEAR(TODAY()),2), "/",Table2[[#This Row],[Seq. Number]])</f>
        <v>Q/R/H/26/1104</v>
      </c>
      <c r="G931" s="3" t="str">
        <v>Greenway II</v>
      </c>
      <c r="I931" s="3" t="str">
        <v>GC</v>
      </c>
      <c r="J931" s="3" t="str">
        <v>GMS</v>
      </c>
    </row>
    <row r="932">
      <c r="A932" s="3">
        <v>45751</v>
      </c>
      <c r="B932" s="3" t="str">
        <v>R:Renewal</v>
      </c>
      <c r="C932" s="3" t="str">
        <v>P:P&amp;I</v>
      </c>
      <c r="D932" s="3">
        <f>D931+1</f>
        <v>1105</v>
      </c>
      <c r="E932" s="3" t="str">
        <f>CONCAT("Q","/",LEFT(Table2[[#This Row],[Quotation Type]],1),"/", LEFT(Table2[[#This Row],[Branch]],1),"/", RIGHT(YEAR(TODAY()),2), "/",Table2[[#This Row],[Seq. Number]])</f>
        <v>Q/R/P/26/1105</v>
      </c>
      <c r="G932" s="3" t="str">
        <v>Princess Eman</v>
      </c>
      <c r="I932" s="3" t="str">
        <v>GC</v>
      </c>
      <c r="J932" s="3" t="str">
        <v>Direct</v>
      </c>
    </row>
    <row r="933">
      <c r="A933" s="3">
        <v>45751</v>
      </c>
      <c r="B933" s="3" t="str">
        <v>N:New Quotation</v>
      </c>
      <c r="C933" s="3" t="str">
        <v>P:P&amp;I</v>
      </c>
      <c r="D933" s="3">
        <f>D932+1</f>
        <v>1106</v>
      </c>
      <c r="E933" s="3" t="str">
        <f>CONCAT("Q","/",LEFT(Table2[[#This Row],[Quotation Type]],1),"/", LEFT(Table2[[#This Row],[Branch]],1),"/", RIGHT(YEAR(TODAY()),2), "/",Table2[[#This Row],[Seq. Number]])</f>
        <v>Q/N/P/26/1106</v>
      </c>
      <c r="G933" s="3" t="str">
        <v>Veromar</v>
      </c>
      <c r="I933" s="3" t="str">
        <v>Tug</v>
      </c>
      <c r="J933" s="3" t="str">
        <v>SSS</v>
      </c>
    </row>
    <row r="934">
      <c r="A934" s="3">
        <v>45751</v>
      </c>
      <c r="B934" s="3" t="str">
        <v>N:New Quotation</v>
      </c>
      <c r="C934" s="3" t="str">
        <v>H:Hull</v>
      </c>
      <c r="D934" s="3">
        <f>D933+1</f>
        <v>1107</v>
      </c>
      <c r="E934" s="3" t="str">
        <f>CONCAT("Q","/",LEFT(Table2[[#This Row],[Quotation Type]],1),"/", LEFT(Table2[[#This Row],[Branch]],1),"/", RIGHT(YEAR(TODAY()),2), "/",Table2[[#This Row],[Seq. Number]])</f>
        <v>Q/N/H/26/1107</v>
      </c>
      <c r="G934" s="3" t="str">
        <v>Veromar</v>
      </c>
      <c r="I934" s="3" t="str">
        <v>Tug</v>
      </c>
      <c r="J934" s="3" t="str">
        <v>SSS</v>
      </c>
    </row>
    <row r="935">
      <c r="A935" s="3">
        <v>45754</v>
      </c>
      <c r="B935" s="3" t="str">
        <v>N:New Quotation</v>
      </c>
      <c r="C935" s="3" t="str">
        <v>P:P&amp;I</v>
      </c>
      <c r="D935" s="3">
        <f>D934+1</f>
        <v>1108</v>
      </c>
      <c r="E935" s="3" t="str">
        <f>CONCAT("Q","/",LEFT(Table2[[#This Row],[Quotation Type]],1),"/", LEFT(Table2[[#This Row],[Branch]],1),"/", RIGHT(YEAR(TODAY()),2), "/",Table2[[#This Row],[Seq. Number]])</f>
        <v>Q/N/P/26/1108</v>
      </c>
      <c r="G935" s="3" t="str">
        <v>Limousine Express</v>
      </c>
      <c r="I935" s="3" t="str">
        <v>MLV</v>
      </c>
      <c r="J935" s="3" t="str">
        <v>Profinsure</v>
      </c>
    </row>
    <row r="936">
      <c r="A936" s="3">
        <v>45754</v>
      </c>
      <c r="B936" s="3" t="str">
        <v>R:Renewal</v>
      </c>
      <c r="C936" s="3" t="str">
        <v>P:P&amp;I</v>
      </c>
      <c r="D936" s="3">
        <f>D935+1</f>
        <v>1109</v>
      </c>
      <c r="E936" s="3" t="str">
        <f>CONCAT("Q","/",LEFT(Table2[[#This Row],[Quotation Type]],1),"/", LEFT(Table2[[#This Row],[Branch]],1),"/", RIGHT(YEAR(TODAY()),2), "/",Table2[[#This Row],[Seq. Number]])</f>
        <v>Q/R/P/26/1109</v>
      </c>
      <c r="G936" s="3" t="str">
        <v>Sara RS</v>
      </c>
      <c r="I936" s="3" t="str">
        <v>GC</v>
      </c>
      <c r="J936" s="3" t="str">
        <v>Direct</v>
      </c>
    </row>
    <row r="937">
      <c r="A937" s="3">
        <v>45756</v>
      </c>
      <c r="B937" s="3" t="str">
        <v>R:Renewal</v>
      </c>
      <c r="C937" s="3" t="str">
        <v>P:P&amp;I</v>
      </c>
      <c r="D937" s="3">
        <f>D936+1</f>
        <v>1110</v>
      </c>
      <c r="E937" s="3" t="str">
        <f>CONCAT("Q","/",LEFT(Table2[[#This Row],[Quotation Type]],1),"/", LEFT(Table2[[#This Row],[Branch]],1),"/", RIGHT(YEAR(TODAY()),2), "/",Table2[[#This Row],[Seq. Number]])</f>
        <v>Q/R/P/26/1110</v>
      </c>
      <c r="G937" s="3" t="str">
        <v>Sam</v>
      </c>
      <c r="I937" s="3" t="str">
        <v>GC</v>
      </c>
      <c r="J937" s="3" t="str">
        <v>Direct</v>
      </c>
    </row>
    <row r="938">
      <c r="A938" s="3">
        <v>45757</v>
      </c>
      <c r="B938" s="3" t="str">
        <v>R:Renewal</v>
      </c>
      <c r="C938" s="3" t="str">
        <v>H:Hull</v>
      </c>
      <c r="D938" s="3">
        <f>D937+1</f>
        <v>1111</v>
      </c>
      <c r="E938" s="3" t="str">
        <f>CONCAT("Q","/",LEFT(Table2[[#This Row],[Quotation Type]],1),"/", LEFT(Table2[[#This Row],[Branch]],1),"/", RIGHT(YEAR(TODAY()),2), "/",Table2[[#This Row],[Seq. Number]])</f>
        <v>Q/R/H/26/1111</v>
      </c>
      <c r="F938" s="3" t="str">
        <v>Sesaco Shipping</v>
      </c>
      <c r="I938" s="3" t="str">
        <v>GC</v>
      </c>
      <c r="J938" s="3" t="str">
        <v>Direct</v>
      </c>
    </row>
    <row r="939">
      <c r="A939" s="3">
        <v>45757</v>
      </c>
      <c r="B939" s="3" t="str">
        <v>R:Renewal</v>
      </c>
      <c r="C939" s="3" t="str">
        <v>W:War</v>
      </c>
      <c r="D939" s="3">
        <f>D938+1</f>
        <v>1112</v>
      </c>
      <c r="E939" s="3" t="str">
        <f>CONCAT("Q","/",LEFT(Table2[[#This Row],[Quotation Type]],1),"/", LEFT(Table2[[#This Row],[Branch]],1),"/", RIGHT(YEAR(TODAY()),2), "/",Table2[[#This Row],[Seq. Number]])</f>
        <v>Q/R/W/26/1112</v>
      </c>
      <c r="F939" s="3" t="str">
        <v>Sesaco Shipping</v>
      </c>
      <c r="I939" s="3" t="str">
        <v>GC</v>
      </c>
      <c r="J939" s="3" t="str">
        <v>Direct</v>
      </c>
    </row>
    <row r="940">
      <c r="A940" s="3">
        <v>45757</v>
      </c>
      <c r="B940" s="3" t="str">
        <v>R:Renewal</v>
      </c>
      <c r="C940" s="3" t="str">
        <v>H:Hull</v>
      </c>
      <c r="D940" s="3">
        <f>D939+1</f>
        <v>1113</v>
      </c>
      <c r="E940" s="3" t="str">
        <f>CONCAT("Q","/",LEFT(Table2[[#This Row],[Quotation Type]],1),"/", LEFT(Table2[[#This Row],[Branch]],1),"/", RIGHT(YEAR(TODAY()),2), "/",Table2[[#This Row],[Seq. Number]])</f>
        <v>Q/R/H/26/1113</v>
      </c>
      <c r="G940" s="3" t="str">
        <v>Maddox</v>
      </c>
      <c r="I940" s="3" t="str">
        <v>GC</v>
      </c>
      <c r="J940" s="3" t="str">
        <v>Direct</v>
      </c>
    </row>
    <row r="941">
      <c r="A941" s="3">
        <v>45757</v>
      </c>
      <c r="B941" s="3" t="str">
        <v>R:Renewal</v>
      </c>
      <c r="C941" s="3" t="str">
        <v>W:War</v>
      </c>
      <c r="D941" s="3">
        <f>D940+1</f>
        <v>1114</v>
      </c>
      <c r="E941" s="3" t="str">
        <f>CONCAT("Q","/",LEFT(Table2[[#This Row],[Quotation Type]],1),"/", LEFT(Table2[[#This Row],[Branch]],1),"/", RIGHT(YEAR(TODAY()),2), "/",Table2[[#This Row],[Seq. Number]])</f>
        <v>Q/R/W/26/1114</v>
      </c>
      <c r="G941" s="3" t="str">
        <v>Maddox</v>
      </c>
      <c r="I941" s="3" t="str">
        <v>GC</v>
      </c>
      <c r="J941" s="3" t="str">
        <v>Direct</v>
      </c>
    </row>
    <row r="942">
      <c r="A942" s="3">
        <v>45757</v>
      </c>
      <c r="B942" s="3" t="str">
        <v>R:Renewal</v>
      </c>
      <c r="C942" s="3" t="str">
        <v>P:P&amp;I</v>
      </c>
      <c r="D942" s="3">
        <f>D941+1</f>
        <v>1115</v>
      </c>
      <c r="E942" s="3" t="str">
        <f>CONCAT("Q","/",LEFT(Table2[[#This Row],[Quotation Type]],1),"/", LEFT(Table2[[#This Row],[Branch]],1),"/", RIGHT(YEAR(TODAY()),2), "/",Table2[[#This Row],[Seq. Number]])</f>
        <v>Q/R/P/26/1115</v>
      </c>
      <c r="G942" s="3" t="str">
        <v>Queensland</v>
      </c>
      <c r="I942" s="3" t="str">
        <v>MLV</v>
      </c>
      <c r="J942" s="3" t="str">
        <v>Direct</v>
      </c>
    </row>
    <row r="943">
      <c r="A943" s="3">
        <v>45758</v>
      </c>
      <c r="B943" s="3" t="str">
        <v>N:New Quotation</v>
      </c>
      <c r="C943" s="3" t="str">
        <v>H:Hull</v>
      </c>
      <c r="D943" s="3">
        <f>D942+1</f>
        <v>1116</v>
      </c>
      <c r="E943" s="3" t="str">
        <f>CONCAT("Q","/",LEFT(Table2[[#This Row],[Quotation Type]],1),"/", LEFT(Table2[[#This Row],[Branch]],1),"/", RIGHT(YEAR(TODAY()),2), "/",Table2[[#This Row],[Seq. Number]])</f>
        <v>Q/N/H/26/1116</v>
      </c>
      <c r="G943" s="3" t="str">
        <v>Aliada</v>
      </c>
      <c r="I943" s="3" t="str">
        <v>O/T</v>
      </c>
      <c r="J943" s="3" t="str">
        <v>Newberry</v>
      </c>
    </row>
    <row r="944">
      <c r="A944" s="3">
        <v>45762</v>
      </c>
      <c r="B944" s="3" t="str">
        <v>N:New Quotation</v>
      </c>
      <c r="C944" s="3" t="str">
        <v>P:P&amp;I</v>
      </c>
      <c r="D944" s="3">
        <f>D943+1</f>
        <v>1117</v>
      </c>
      <c r="E944" s="3" t="str">
        <f>CONCAT("Q","/",LEFT(Table2[[#This Row],[Quotation Type]],1),"/", LEFT(Table2[[#This Row],[Branch]],1),"/", RIGHT(YEAR(TODAY()),2), "/",Table2[[#This Row],[Seq. Number]])</f>
        <v>Q/N/P/26/1117</v>
      </c>
      <c r="G944" s="3" t="str">
        <v>Royal 1</v>
      </c>
      <c r="I944" s="3" t="str">
        <v>GC</v>
      </c>
      <c r="J944" s="3" t="str">
        <v>Direct</v>
      </c>
    </row>
    <row r="945">
      <c r="A945" s="3">
        <v>45762</v>
      </c>
      <c r="B945" s="3" t="str">
        <v>N:New Quotation</v>
      </c>
      <c r="C945" s="3" t="str">
        <v>P:P&amp;I</v>
      </c>
      <c r="D945" s="3">
        <f>D944+1</f>
        <v>1118</v>
      </c>
      <c r="E945" s="3" t="str">
        <f>CONCAT("Q","/",LEFT(Table2[[#This Row],[Quotation Type]],1),"/", LEFT(Table2[[#This Row],[Branch]],1),"/", RIGHT(YEAR(TODAY()),2), "/",Table2[[#This Row],[Seq. Number]])</f>
        <v>Q/N/P/26/1118</v>
      </c>
      <c r="G945" s="3" t="str">
        <v>Olympic OS</v>
      </c>
      <c r="I945" s="3" t="str">
        <v>GC</v>
      </c>
      <c r="J945" s="3" t="str">
        <v>Profinsure</v>
      </c>
    </row>
    <row r="946">
      <c r="A946" s="3">
        <v>45763</v>
      </c>
      <c r="B946" s="3" t="str">
        <v>N:New Quotation</v>
      </c>
      <c r="C946" s="3" t="str">
        <v>H:Hull</v>
      </c>
      <c r="D946" s="3">
        <f>D945+1</f>
        <v>1119</v>
      </c>
      <c r="E946" s="3" t="str">
        <f>CONCAT("Q","/",LEFT(Table2[[#This Row],[Quotation Type]],1),"/", LEFT(Table2[[#This Row],[Branch]],1),"/", RIGHT(YEAR(TODAY()),2), "/",Table2[[#This Row],[Seq. Number]])</f>
        <v>Q/N/H/26/1119</v>
      </c>
      <c r="G946" s="3" t="str">
        <v>Nepta</v>
      </c>
      <c r="I946" s="3" t="str">
        <v>O/T</v>
      </c>
      <c r="J946" s="3" t="str">
        <v>Newberry</v>
      </c>
    </row>
    <row r="947">
      <c r="A947" s="3">
        <v>45763</v>
      </c>
      <c r="B947" s="3" t="str">
        <v>R:Renewal</v>
      </c>
      <c r="C947" s="3" t="str">
        <v>P:P&amp;I</v>
      </c>
      <c r="D947" s="3">
        <f>D946+1</f>
        <v>1120</v>
      </c>
      <c r="E947" s="3" t="str">
        <f>CONCAT("Q","/",LEFT(Table2[[#This Row],[Quotation Type]],1),"/", LEFT(Table2[[#This Row],[Branch]],1),"/", RIGHT(YEAR(TODAY()),2), "/",Table2[[#This Row],[Seq. Number]])</f>
        <v>Q/R/P/26/1120</v>
      </c>
      <c r="G947" s="3" t="str">
        <v>Adel II</v>
      </c>
      <c r="I947" s="3" t="str">
        <v>MLV</v>
      </c>
      <c r="J947" s="3" t="str">
        <v>Direct</v>
      </c>
    </row>
    <row r="948">
      <c r="A948" s="3">
        <v>45764</v>
      </c>
      <c r="B948" s="3" t="str">
        <v>N:New Quotation</v>
      </c>
      <c r="C948" s="3" t="str">
        <v>P:P&amp;I</v>
      </c>
      <c r="D948" s="3">
        <f>D947+1</f>
        <v>1121</v>
      </c>
      <c r="E948" s="3" t="str">
        <f>CONCAT("Q","/",LEFT(Table2[[#This Row],[Quotation Type]],1),"/", LEFT(Table2[[#This Row],[Branch]],1),"/", RIGHT(YEAR(TODAY()),2), "/",Table2[[#This Row],[Seq. Number]])</f>
        <v>Q/N/P/26/1121</v>
      </c>
      <c r="G948" s="3" t="str">
        <v>Tor Boreas</v>
      </c>
      <c r="I948" s="3" t="str">
        <v>Supply Vessel</v>
      </c>
      <c r="J948" s="3" t="str">
        <v>Bora</v>
      </c>
    </row>
    <row r="949">
      <c r="A949" s="3">
        <v>45764</v>
      </c>
      <c r="B949" s="3" t="str">
        <v>N:New Quotation</v>
      </c>
      <c r="C949" s="3" t="str">
        <v>P:P&amp;I</v>
      </c>
      <c r="D949" s="3">
        <f>D948+1</f>
        <v>1122</v>
      </c>
      <c r="E949" s="3" t="str">
        <f>CONCAT("Q","/",LEFT(Table2[[#This Row],[Quotation Type]],1),"/", LEFT(Table2[[#This Row],[Branch]],1),"/", RIGHT(YEAR(TODAY()),2), "/",Table2[[#This Row],[Seq. Number]])</f>
        <v>Q/N/P/26/1122</v>
      </c>
      <c r="G949" s="3" t="str">
        <v>AS Dream</v>
      </c>
      <c r="I949" s="3" t="str">
        <v>GC</v>
      </c>
      <c r="J949" s="3" t="str">
        <v>SSS</v>
      </c>
    </row>
    <row r="950">
      <c r="A950" s="3">
        <v>45769</v>
      </c>
      <c r="B950" s="3" t="str">
        <v>N:New Quotation</v>
      </c>
      <c r="C950" s="3" t="str">
        <v>P:P&amp;I</v>
      </c>
      <c r="D950" s="3">
        <f>D949+1</f>
        <v>1123</v>
      </c>
      <c r="E950" s="3" t="str">
        <f>CONCAT("Q","/",LEFT(Table2[[#This Row],[Quotation Type]],1),"/", LEFT(Table2[[#This Row],[Branch]],1),"/", RIGHT(YEAR(TODAY()),2), "/",Table2[[#This Row],[Seq. Number]])</f>
        <v>Q/N/P/26/1123</v>
      </c>
      <c r="G950" s="3" t="str">
        <v>Armony</v>
      </c>
      <c r="I950" s="3" t="str">
        <v>GC</v>
      </c>
      <c r="J950" s="3" t="str">
        <v>Premium</v>
      </c>
    </row>
    <row r="951">
      <c r="A951" s="3">
        <v>45770</v>
      </c>
      <c r="B951" s="3" t="str">
        <v>R:Renewal</v>
      </c>
      <c r="C951" s="3" t="str">
        <v>P:P&amp;I</v>
      </c>
      <c r="D951" s="3">
        <f>D950+1</f>
        <v>1124</v>
      </c>
      <c r="E951" s="3" t="str">
        <f>CONCAT("Q","/",LEFT(Table2[[#This Row],[Quotation Type]],1),"/", LEFT(Table2[[#This Row],[Branch]],1),"/", RIGHT(YEAR(TODAY()),2), "/",Table2[[#This Row],[Seq. Number]])</f>
        <v>Q/R/P/26/1124</v>
      </c>
      <c r="F951" s="3" t="str">
        <v>Crocodile Marine</v>
      </c>
      <c r="J951" s="3" t="str">
        <v>GMCG</v>
      </c>
    </row>
    <row r="952">
      <c r="A952" s="3">
        <v>45770</v>
      </c>
      <c r="B952" s="3" t="str">
        <v>R:Renewal</v>
      </c>
      <c r="C952" s="3" t="str">
        <v>P:P&amp;I</v>
      </c>
      <c r="D952" s="3">
        <f>D951+1</f>
        <v>1125</v>
      </c>
      <c r="E952" s="3" t="str">
        <f>CONCAT("Q","/",LEFT(Table2[[#This Row],[Quotation Type]],1),"/", LEFT(Table2[[#This Row],[Branch]],1),"/", RIGHT(YEAR(TODAY()),2), "/",Table2[[#This Row],[Seq. Number]])</f>
        <v>Q/R/P/26/1125</v>
      </c>
      <c r="G952" s="3" t="str">
        <v>Rani</v>
      </c>
      <c r="I952" s="3" t="str">
        <v>GC</v>
      </c>
      <c r="J952" s="3" t="str">
        <v>SSS</v>
      </c>
    </row>
    <row r="953">
      <c r="A953" s="3">
        <v>45770</v>
      </c>
      <c r="B953" s="3" t="str">
        <v>R:Renewal</v>
      </c>
      <c r="C953" s="3" t="str">
        <v>H:Hull</v>
      </c>
      <c r="D953" s="3">
        <f>D952+1</f>
        <v>1126</v>
      </c>
      <c r="E953" s="3" t="str">
        <f>CONCAT("Q","/",LEFT(Table2[[#This Row],[Quotation Type]],1),"/", LEFT(Table2[[#This Row],[Branch]],1),"/", RIGHT(YEAR(TODAY()),2), "/",Table2[[#This Row],[Seq. Number]])</f>
        <v>Q/R/H/26/1126</v>
      </c>
      <c r="G953" s="3" t="str">
        <v>Cativera</v>
      </c>
      <c r="I953" s="3" t="str">
        <v>BC</v>
      </c>
      <c r="J953" s="3" t="str">
        <v>SSS</v>
      </c>
    </row>
    <row r="954">
      <c r="A954" s="3">
        <v>45770</v>
      </c>
      <c r="B954" s="3" t="str">
        <v>R:Renewal</v>
      </c>
      <c r="C954" s="3" t="str">
        <v>H:Hull</v>
      </c>
      <c r="D954" s="3">
        <f>D953+1</f>
        <v>1127</v>
      </c>
      <c r="E954" s="3" t="str">
        <f>CONCAT("Q","/",LEFT(Table2[[#This Row],[Quotation Type]],1),"/", LEFT(Table2[[#This Row],[Branch]],1),"/", RIGHT(YEAR(TODAY()),2), "/",Table2[[#This Row],[Seq. Number]])</f>
        <v>Q/R/H/26/1127</v>
      </c>
      <c r="G954" s="3" t="str">
        <v>MN Scorpio</v>
      </c>
      <c r="I954" s="3" t="str">
        <v>GC</v>
      </c>
      <c r="J954" s="3" t="str">
        <v>SSS</v>
      </c>
    </row>
    <row r="955">
      <c r="A955" s="3">
        <v>45771</v>
      </c>
      <c r="B955" s="3" t="str">
        <v>N:New Quotation</v>
      </c>
      <c r="C955" s="3" t="str">
        <v>P:P&amp;I</v>
      </c>
      <c r="D955" s="3">
        <f>D954+1</f>
        <v>1128</v>
      </c>
      <c r="E955" s="3" t="str">
        <f>CONCAT("Q","/",LEFT(Table2[[#This Row],[Quotation Type]],1),"/", LEFT(Table2[[#This Row],[Branch]],1),"/", RIGHT(YEAR(TODAY()),2), "/",Table2[[#This Row],[Seq. Number]])</f>
        <v>Q/N/P/26/1128</v>
      </c>
      <c r="G955" s="3" t="str">
        <v>Yalissa</v>
      </c>
      <c r="I955" s="3" t="str">
        <v>GC</v>
      </c>
      <c r="J955" s="3" t="str">
        <v>Profinsure</v>
      </c>
    </row>
    <row r="956">
      <c r="A956" s="3">
        <v>45775</v>
      </c>
      <c r="B956" s="3" t="str">
        <v>N:New Quotation</v>
      </c>
      <c r="C956" s="3" t="str">
        <v>P:P&amp;I</v>
      </c>
      <c r="D956" s="3">
        <f>D955+1</f>
        <v>1129</v>
      </c>
      <c r="E956" s="3" t="str">
        <f>CONCAT("Q","/",LEFT(Table2[[#This Row],[Quotation Type]],1),"/", LEFT(Table2[[#This Row],[Branch]],1),"/", RIGHT(YEAR(TODAY()),2), "/",Table2[[#This Row],[Seq. Number]])</f>
        <v>Q/N/P/26/1129</v>
      </c>
      <c r="F956" s="3" t="str">
        <v>Fana Shipping</v>
      </c>
      <c r="I956" s="3" t="str">
        <v>GC</v>
      </c>
      <c r="J956" s="3" t="str">
        <v>Profinsure</v>
      </c>
    </row>
    <row r="957">
      <c r="A957" s="3">
        <v>45776</v>
      </c>
      <c r="B957" s="3" t="str">
        <v>R:Renewal</v>
      </c>
      <c r="C957" s="3" t="str">
        <v>P:P&amp;I</v>
      </c>
      <c r="D957" s="3">
        <f>D956+1</f>
        <v>1130</v>
      </c>
      <c r="E957" s="3" t="str">
        <f>CONCAT("Q","/",LEFT(Table2[[#This Row],[Quotation Type]],1),"/", LEFT(Table2[[#This Row],[Branch]],1),"/", RIGHT(YEAR(TODAY()),2), "/",Table2[[#This Row],[Seq. Number]])</f>
        <v>Q/R/P/26/1130</v>
      </c>
      <c r="F957" s="3" t="str">
        <v>Star Group Navigation</v>
      </c>
      <c r="I957" s="3" t="str">
        <v>GC</v>
      </c>
      <c r="J957" s="3" t="str">
        <v>Ferrari</v>
      </c>
    </row>
    <row r="958">
      <c r="A958" s="3">
        <v>45776</v>
      </c>
      <c r="B958" s="3" t="str">
        <v>N:New Quotation</v>
      </c>
      <c r="C958" s="3" t="str">
        <v>P:P&amp;I</v>
      </c>
      <c r="D958" s="3">
        <f>D957+1</f>
        <v>1131</v>
      </c>
      <c r="E958" s="3" t="str">
        <f>CONCAT("Q","/",LEFT(Table2[[#This Row],[Quotation Type]],1),"/", LEFT(Table2[[#This Row],[Branch]],1),"/", RIGHT(YEAR(TODAY()),2), "/",Table2[[#This Row],[Seq. Number]])</f>
        <v>Q/N/P/26/1131</v>
      </c>
      <c r="F958" s="3" t="str">
        <v>Arab Dredging</v>
      </c>
      <c r="I958" s="3" t="str">
        <v>Dredger</v>
      </c>
      <c r="J958" s="3" t="str">
        <v>Saif Al rashidi</v>
      </c>
    </row>
    <row r="959">
      <c r="A959" s="3">
        <v>45776</v>
      </c>
      <c r="B959" s="3" t="str">
        <v>R:Renewal</v>
      </c>
      <c r="C959" s="3" t="str">
        <v>H:Hull</v>
      </c>
      <c r="D959" s="3">
        <f>D958+1</f>
        <v>1132</v>
      </c>
      <c r="E959" s="3" t="str">
        <f>CONCAT("Q","/",LEFT(Table2[[#This Row],[Quotation Type]],1),"/", LEFT(Table2[[#This Row],[Branch]],1),"/", RIGHT(YEAR(TODAY()),2), "/",Table2[[#This Row],[Seq. Number]])</f>
        <v>Q/R/H/26/1132</v>
      </c>
      <c r="F959" s="3" t="str">
        <v>Coastal International Shipping</v>
      </c>
      <c r="I959" s="3" t="str">
        <v>GC</v>
      </c>
      <c r="J959" s="3" t="str">
        <v>CR</v>
      </c>
    </row>
    <row r="960">
      <c r="A960" s="3">
        <v>45779</v>
      </c>
      <c r="B960" s="3" t="str">
        <v>N:New Quotation</v>
      </c>
      <c r="C960" s="3" t="str">
        <v>P:P&amp;I</v>
      </c>
      <c r="D960" s="3">
        <f>D959+1</f>
        <v>1133</v>
      </c>
      <c r="E960" s="3" t="str">
        <f>CONCAT("Q","/",LEFT(Table2[[#This Row],[Quotation Type]],1),"/", LEFT(Table2[[#This Row],[Branch]],1),"/", RIGHT(YEAR(TODAY()),2), "/",Table2[[#This Row],[Seq. Number]])</f>
        <v>Q/N/P/26/1133</v>
      </c>
      <c r="G960" s="3" t="str">
        <v>Mednogorsk</v>
      </c>
      <c r="I960" s="3" t="str">
        <v>GC</v>
      </c>
      <c r="J960" s="3" t="str">
        <v>Profinsure</v>
      </c>
    </row>
    <row r="961">
      <c r="A961" s="3">
        <v>45779</v>
      </c>
      <c r="B961" s="3" t="str">
        <v>R:Renewal</v>
      </c>
      <c r="C961" s="3" t="str">
        <v>H:Hull</v>
      </c>
      <c r="D961" s="3">
        <f>D960+1</f>
        <v>1134</v>
      </c>
      <c r="E961" s="3" t="str">
        <f>CONCAT("Q","/",LEFT(Table2[[#This Row],[Quotation Type]],1),"/", LEFT(Table2[[#This Row],[Branch]],1),"/", RIGHT(YEAR(TODAY()),2), "/",Table2[[#This Row],[Seq. Number]])</f>
        <v>Q/R/H/26/1134</v>
      </c>
      <c r="G961" s="3" t="str">
        <v>Olivia</v>
      </c>
      <c r="I961" s="3" t="str">
        <v>O/T</v>
      </c>
      <c r="J961" s="3" t="str">
        <v>Newberry</v>
      </c>
    </row>
    <row r="962">
      <c r="A962" s="3">
        <v>45783</v>
      </c>
      <c r="B962" s="3" t="str">
        <v>A:Addition</v>
      </c>
      <c r="C962" s="3" t="str">
        <v>P:P&amp;I</v>
      </c>
      <c r="D962" s="3">
        <f>D961+1</f>
        <v>1135</v>
      </c>
      <c r="E962" s="3" t="str">
        <f>CONCAT("Q","/",LEFT(Table2[[#This Row],[Quotation Type]],1),"/", LEFT(Table2[[#This Row],[Branch]],1),"/", RIGHT(YEAR(TODAY()),2), "/",Table2[[#This Row],[Seq. Number]])</f>
        <v>Q/A/P/26/1135</v>
      </c>
      <c r="G962" s="3" t="str">
        <v>Aida</v>
      </c>
      <c r="I962" s="3" t="str">
        <v>GC</v>
      </c>
      <c r="J962" s="3" t="str">
        <v>Brandenburg</v>
      </c>
    </row>
    <row r="963">
      <c r="A963" s="3">
        <v>45785</v>
      </c>
      <c r="B963" s="3" t="str">
        <v>R:Renewal</v>
      </c>
      <c r="C963" s="3" t="str">
        <v>P:P&amp;I</v>
      </c>
      <c r="D963" s="3">
        <f>D962+1</f>
        <v>1136</v>
      </c>
      <c r="E963" s="3" t="str">
        <f>CONCAT("Q","/",LEFT(Table2[[#This Row],[Quotation Type]],1),"/", LEFT(Table2[[#This Row],[Branch]],1),"/", RIGHT(YEAR(TODAY()),2), "/",Table2[[#This Row],[Seq. Number]])</f>
        <v>Q/R/P/26/1136</v>
      </c>
      <c r="G963" s="3" t="str">
        <v>Sidra</v>
      </c>
      <c r="I963" s="3" t="str">
        <v>MLV</v>
      </c>
      <c r="J963" s="3" t="str">
        <v>Direct</v>
      </c>
    </row>
    <row r="964">
      <c r="A964" s="3">
        <v>45789</v>
      </c>
      <c r="B964" s="3" t="str">
        <v>R:Renewal</v>
      </c>
      <c r="C964" s="3" t="str">
        <v>P:P&amp;I</v>
      </c>
      <c r="D964" s="3">
        <f>D963+1</f>
        <v>1137</v>
      </c>
      <c r="E964" s="3" t="str">
        <f>CONCAT("Q","/",LEFT(Table2[[#This Row],[Quotation Type]],1),"/", LEFT(Table2[[#This Row],[Branch]],1),"/", RIGHT(YEAR(TODAY()),2), "/",Table2[[#This Row],[Seq. Number]])</f>
        <v>Q/R/P/26/1137</v>
      </c>
      <c r="F964" s="3" t="str">
        <v>Friends Marine</v>
      </c>
      <c r="I964" s="3" t="str">
        <v>GC</v>
      </c>
      <c r="J964" s="3" t="str">
        <v>Direct</v>
      </c>
    </row>
    <row r="965">
      <c r="A965" s="3">
        <v>45791</v>
      </c>
      <c r="B965" s="3" t="str">
        <v>R:Renewal</v>
      </c>
      <c r="C965" s="3" t="str">
        <v>H:Hull</v>
      </c>
      <c r="D965" s="3">
        <f>D964+1</f>
        <v>1138</v>
      </c>
      <c r="E965" s="3" t="str">
        <f>CONCAT("Q","/",LEFT(Table2[[#This Row],[Quotation Type]],1),"/", LEFT(Table2[[#This Row],[Branch]],1),"/", RIGHT(YEAR(TODAY()),2), "/",Table2[[#This Row],[Seq. Number]])</f>
        <v>Q/R/H/26/1138</v>
      </c>
      <c r="F965" s="3" t="str">
        <v>Med Sea Shipping</v>
      </c>
      <c r="I965" s="3" t="str">
        <v>BC</v>
      </c>
      <c r="J965" s="3" t="str">
        <v>Mesco</v>
      </c>
    </row>
    <row r="966">
      <c r="A966" s="3">
        <v>45791</v>
      </c>
      <c r="B966" s="3" t="str">
        <v>R:Renewal</v>
      </c>
      <c r="C966" s="3" t="str">
        <v>W:War</v>
      </c>
      <c r="D966" s="3">
        <f>D965+1</f>
        <v>1139</v>
      </c>
      <c r="E966" s="3" t="str">
        <f>CONCAT("Q","/",LEFT(Table2[[#This Row],[Quotation Type]],1),"/", LEFT(Table2[[#This Row],[Branch]],1),"/", RIGHT(YEAR(TODAY()),2), "/",Table2[[#This Row],[Seq. Number]])</f>
        <v>Q/R/W/26/1139</v>
      </c>
      <c r="F966" s="3" t="str">
        <v>Med Sea Shipping</v>
      </c>
      <c r="I966" s="3" t="str">
        <v>BC</v>
      </c>
      <c r="J966" s="3" t="str">
        <v>Mesco</v>
      </c>
    </row>
    <row r="967">
      <c r="A967" s="3">
        <v>45793</v>
      </c>
      <c r="B967" s="3" t="str">
        <v>R:Renewal</v>
      </c>
      <c r="C967" s="3" t="str">
        <v>P:P&amp;I</v>
      </c>
      <c r="D967" s="3">
        <f>D966+1</f>
        <v>1140</v>
      </c>
      <c r="E967" s="3" t="str">
        <f>CONCAT("Q","/",LEFT(Table2[[#This Row],[Quotation Type]],1),"/", LEFT(Table2[[#This Row],[Branch]],1),"/", RIGHT(YEAR(TODAY()),2), "/",Table2[[#This Row],[Seq. Number]])</f>
        <v>Q/R/P/26/1140</v>
      </c>
      <c r="F967" s="3" t="str">
        <v>Cilioglu</v>
      </c>
      <c r="I967" s="3" t="str">
        <v>GC</v>
      </c>
      <c r="J967" s="3" t="str">
        <v>Kuzey</v>
      </c>
    </row>
    <row r="968">
      <c r="A968" s="3">
        <v>45793</v>
      </c>
      <c r="B968" s="3" t="str">
        <v>N:New Quotation</v>
      </c>
      <c r="C968" s="3" t="str">
        <v>P:P&amp;I</v>
      </c>
      <c r="D968" s="3">
        <f>D967+1</f>
        <v>1141</v>
      </c>
      <c r="E968" s="3" t="str">
        <f>CONCAT("Q","/",LEFT(Table2[[#This Row],[Quotation Type]],1),"/", LEFT(Table2[[#This Row],[Branch]],1),"/", RIGHT(YEAR(TODAY()),2), "/",Table2[[#This Row],[Seq. Number]])</f>
        <v>Q/N/P/26/1141</v>
      </c>
      <c r="G968" s="3" t="str">
        <v>Princess Joulia</v>
      </c>
      <c r="I968" s="3" t="str">
        <v>Container</v>
      </c>
      <c r="J968" s="3" t="str">
        <v>Direct</v>
      </c>
    </row>
    <row r="969">
      <c r="A969" s="3">
        <v>45799</v>
      </c>
      <c r="B969" s="3" t="str">
        <v>N:New Quotation</v>
      </c>
      <c r="C969" s="3" t="str">
        <v>H:Hull</v>
      </c>
      <c r="D969" s="3">
        <f>D968+1</f>
        <v>1142</v>
      </c>
      <c r="E969" s="3" t="str">
        <f>CONCAT("Q","/",LEFT(Table2[[#This Row],[Quotation Type]],1),"/", LEFT(Table2[[#This Row],[Branch]],1),"/", RIGHT(YEAR(TODAY()),2), "/",Table2[[#This Row],[Seq. Number]])</f>
        <v>Q/N/H/26/1142</v>
      </c>
      <c r="F969" s="3" t="str">
        <v>Santa Maria</v>
      </c>
      <c r="I969" s="3" t="str">
        <v>BC</v>
      </c>
      <c r="J969" s="3" t="str">
        <v>Mesco</v>
      </c>
    </row>
    <row r="970">
      <c r="A970" s="3">
        <v>45799</v>
      </c>
      <c r="B970" s="3" t="str">
        <v>R:Renewal</v>
      </c>
      <c r="C970" s="3" t="str">
        <v>P:P&amp;I</v>
      </c>
      <c r="D970" s="3">
        <f>D969+1</f>
        <v>1143</v>
      </c>
      <c r="E970" s="3" t="str">
        <f>CONCAT("Q","/",LEFT(Table2[[#This Row],[Quotation Type]],1),"/", LEFT(Table2[[#This Row],[Branch]],1),"/", RIGHT(YEAR(TODAY()),2), "/",Table2[[#This Row],[Seq. Number]])</f>
        <v>Q/R/P/26/1143</v>
      </c>
      <c r="G970" s="3" t="str">
        <v>Noble 1</v>
      </c>
      <c r="I970" s="3" t="str">
        <v>GC</v>
      </c>
      <c r="J970" s="3" t="str">
        <v>Direct</v>
      </c>
    </row>
    <row r="971">
      <c r="A971" s="3">
        <v>45799</v>
      </c>
      <c r="B971" s="3" t="str">
        <v>R:Renewal</v>
      </c>
      <c r="C971" s="3" t="str">
        <v>P:P&amp;I</v>
      </c>
      <c r="D971" s="3">
        <f>D970+1</f>
        <v>1144</v>
      </c>
      <c r="E971" s="3" t="str">
        <f>CONCAT("Q","/",LEFT(Table2[[#This Row],[Quotation Type]],1),"/", LEFT(Table2[[#This Row],[Branch]],1),"/", RIGHT(YEAR(TODAY()),2), "/",Table2[[#This Row],[Seq. Number]])</f>
        <v>Q/R/P/26/1144</v>
      </c>
      <c r="G971" s="3" t="str">
        <v>North Star 1</v>
      </c>
      <c r="I971" s="3" t="str">
        <v>MLV</v>
      </c>
      <c r="J971" s="3" t="str">
        <v>Direct</v>
      </c>
    </row>
    <row r="972">
      <c r="A972" s="3">
        <v>45799</v>
      </c>
      <c r="B972" s="3" t="str">
        <v>R:Renewal</v>
      </c>
      <c r="C972" s="3" t="str">
        <v>H:Hull</v>
      </c>
      <c r="D972" s="3">
        <f>D971+1</f>
        <v>1145</v>
      </c>
      <c r="E972" s="3" t="str">
        <f>CONCAT("Q","/",LEFT(Table2[[#This Row],[Quotation Type]],1),"/", LEFT(Table2[[#This Row],[Branch]],1),"/", RIGHT(YEAR(TODAY()),2), "/",Table2[[#This Row],[Seq. Number]])</f>
        <v>Q/R/H/26/1145</v>
      </c>
      <c r="G972" s="3" t="str">
        <v>North Star 1</v>
      </c>
      <c r="I972" s="3" t="str">
        <v>MLV</v>
      </c>
      <c r="J972" s="3" t="str">
        <v>Direct</v>
      </c>
    </row>
    <row r="973">
      <c r="A973" s="3">
        <v>45800</v>
      </c>
      <c r="B973" s="3" t="str">
        <v>A:Addition</v>
      </c>
      <c r="C973" s="3" t="str">
        <v>P:P&amp;I</v>
      </c>
      <c r="D973" s="3">
        <f>D972+1</f>
        <v>1146</v>
      </c>
      <c r="E973" s="3" t="str">
        <f>CONCAT("Q","/",LEFT(Table2[[#This Row],[Quotation Type]],1),"/", LEFT(Table2[[#This Row],[Branch]],1),"/", RIGHT(YEAR(TODAY()),2), "/",Table2[[#This Row],[Seq. Number]])</f>
        <v>Q/A/P/26/1146</v>
      </c>
      <c r="G973" s="3" t="str">
        <v>Alfa Bro</v>
      </c>
      <c r="I973" s="3" t="str">
        <v>MLV</v>
      </c>
      <c r="J973" s="3" t="str">
        <v>Observator</v>
      </c>
    </row>
    <row r="974">
      <c r="A974" s="3">
        <v>45800</v>
      </c>
      <c r="B974" s="3" t="str">
        <v>R:Renewal</v>
      </c>
      <c r="C974" s="3" t="str">
        <v>H:Hull</v>
      </c>
      <c r="D974" s="3">
        <f>D973+1</f>
        <v>1147</v>
      </c>
      <c r="E974" s="3" t="str">
        <f>CONCAT("Q","/",LEFT(Table2[[#This Row],[Quotation Type]],1),"/", LEFT(Table2[[#This Row],[Branch]],1),"/", RIGHT(YEAR(TODAY()),2), "/",Table2[[#This Row],[Seq. Number]])</f>
        <v>Q/R/H/26/1147</v>
      </c>
      <c r="G974" s="3" t="str">
        <v>Nomiki</v>
      </c>
      <c r="I974" s="3" t="str">
        <v>O/T</v>
      </c>
      <c r="J974" s="3" t="str">
        <v>City</v>
      </c>
    </row>
    <row r="975">
      <c r="A975" s="3">
        <v>45804</v>
      </c>
      <c r="B975" s="3" t="str">
        <v>A:Addition</v>
      </c>
      <c r="C975" s="3" t="str">
        <v>H:Hull</v>
      </c>
      <c r="D975" s="3">
        <f>D974+1</f>
        <v>1148</v>
      </c>
      <c r="E975" s="3" t="str">
        <f>CONCAT("Q","/",LEFT(Table2[[#This Row],[Quotation Type]],1),"/", LEFT(Table2[[#This Row],[Branch]],1),"/", RIGHT(YEAR(TODAY()),2), "/",Table2[[#This Row],[Seq. Number]])</f>
        <v>Q/A/H/26/1148</v>
      </c>
      <c r="F975" s="3" t="str">
        <v>Crocodile Marine</v>
      </c>
      <c r="J975" s="3" t="str">
        <v>GMCG</v>
      </c>
    </row>
    <row r="976">
      <c r="A976" s="3">
        <v>45804</v>
      </c>
      <c r="B976" s="3" t="str">
        <v>R:Renewal</v>
      </c>
      <c r="C976" s="3" t="str">
        <v>H:Hull</v>
      </c>
      <c r="D976" s="3">
        <f>D975+1</f>
        <v>1149</v>
      </c>
      <c r="E976" s="3" t="str">
        <f>CONCAT("Q","/",LEFT(Table2[[#This Row],[Quotation Type]],1),"/", LEFT(Table2[[#This Row],[Branch]],1),"/", RIGHT(YEAR(TODAY()),2), "/",Table2[[#This Row],[Seq. Number]])</f>
        <v>Q/R/H/26/1149</v>
      </c>
      <c r="F976" s="3" t="str">
        <v>Apus</v>
      </c>
      <c r="I976" s="3" t="str">
        <v>MLV</v>
      </c>
      <c r="J976" s="3" t="str">
        <v>Direct</v>
      </c>
    </row>
    <row r="977">
      <c r="A977" s="3">
        <v>45804</v>
      </c>
      <c r="B977" s="3" t="str">
        <v>R:Renewal</v>
      </c>
      <c r="C977" s="3" t="str">
        <v>P:P&amp;I</v>
      </c>
      <c r="D977" s="3">
        <f>D976+1</f>
        <v>1150</v>
      </c>
      <c r="E977" s="3" t="str">
        <f>CONCAT("Q","/",LEFT(Table2[[#This Row],[Quotation Type]],1),"/", LEFT(Table2[[#This Row],[Branch]],1),"/", RIGHT(YEAR(TODAY()),2), "/",Table2[[#This Row],[Seq. Number]])</f>
        <v>Q/R/P/26/1150</v>
      </c>
      <c r="F977" s="3" t="str">
        <v>Apus</v>
      </c>
      <c r="I977" s="3" t="str">
        <v>MLV</v>
      </c>
      <c r="J977" s="3" t="str">
        <v>Direct</v>
      </c>
    </row>
    <row r="978">
      <c r="A978" s="3">
        <v>45805</v>
      </c>
      <c r="B978" s="3" t="str">
        <v>R:Renewal</v>
      </c>
      <c r="C978" s="3" t="str">
        <v>P:P&amp;I</v>
      </c>
      <c r="D978" s="3">
        <f>D977+1</f>
        <v>1151</v>
      </c>
      <c r="E978" s="3" t="str">
        <f>CONCAT("Q","/",LEFT(Table2[[#This Row],[Quotation Type]],1),"/", LEFT(Table2[[#This Row],[Branch]],1),"/", RIGHT(YEAR(TODAY()),2), "/",Table2[[#This Row],[Seq. Number]])</f>
        <v>Q/R/P/26/1151</v>
      </c>
      <c r="G978" s="3" t="str">
        <v>AZ Horizon</v>
      </c>
      <c r="I978" s="3" t="str">
        <v>GC</v>
      </c>
      <c r="J978" s="3" t="str">
        <v>SSS</v>
      </c>
    </row>
    <row r="979">
      <c r="A979" s="3">
        <v>45805</v>
      </c>
      <c r="B979" s="3" t="str">
        <v>R:Renewal</v>
      </c>
      <c r="C979" s="3" t="str">
        <v>H:Hull</v>
      </c>
      <c r="D979" s="3">
        <f>D978+1</f>
        <v>1152</v>
      </c>
      <c r="E979" s="3" t="str">
        <f>CONCAT("Q","/",LEFT(Table2[[#This Row],[Quotation Type]],1),"/", LEFT(Table2[[#This Row],[Branch]],1),"/", RIGHT(YEAR(TODAY()),2), "/",Table2[[#This Row],[Seq. Number]])</f>
        <v>Q/R/H/26/1152</v>
      </c>
      <c r="G979" s="3" t="str">
        <v>Al Farouk</v>
      </c>
      <c r="I979" s="3" t="str">
        <v>MLV</v>
      </c>
      <c r="J979" s="3" t="str">
        <v>Direct</v>
      </c>
    </row>
    <row r="980">
      <c r="A980" s="3">
        <v>45805</v>
      </c>
      <c r="B980" s="3" t="str">
        <v>R:Renewal</v>
      </c>
      <c r="C980" s="3" t="str">
        <v>P:P&amp;I</v>
      </c>
      <c r="D980" s="3">
        <f>D979+1</f>
        <v>1153</v>
      </c>
      <c r="E980" s="3" t="str">
        <f>CONCAT("Q","/",LEFT(Table2[[#This Row],[Quotation Type]],1),"/", LEFT(Table2[[#This Row],[Branch]],1),"/", RIGHT(YEAR(TODAY()),2), "/",Table2[[#This Row],[Seq. Number]])</f>
        <v>Q/R/P/26/1153</v>
      </c>
      <c r="G980" s="3" t="str">
        <v>Al Farouk</v>
      </c>
      <c r="I980" s="3" t="str">
        <v>MLV</v>
      </c>
      <c r="J980" s="3" t="str">
        <v>Direct</v>
      </c>
    </row>
    <row r="981">
      <c r="A981" s="3">
        <v>45806</v>
      </c>
      <c r="B981" s="3" t="str">
        <v>R:Renewal</v>
      </c>
      <c r="C981" s="3" t="str">
        <v>P:P&amp;I</v>
      </c>
      <c r="D981" s="3">
        <f>D980+1</f>
        <v>1154</v>
      </c>
      <c r="E981" s="3" t="str">
        <f>CONCAT("Q","/",LEFT(Table2[[#This Row],[Quotation Type]],1),"/", LEFT(Table2[[#This Row],[Branch]],1),"/", RIGHT(YEAR(TODAY()),2), "/",Table2[[#This Row],[Seq. Number]])</f>
        <v>Q/R/P/26/1154</v>
      </c>
      <c r="G981" s="3" t="str">
        <v>Akkad</v>
      </c>
      <c r="I981" s="3" t="str">
        <v>GC</v>
      </c>
      <c r="J981" s="3" t="str">
        <v>Observator</v>
      </c>
    </row>
    <row r="982">
      <c r="A982" s="3">
        <v>45806</v>
      </c>
      <c r="B982" s="3" t="str">
        <v>R:Renewal</v>
      </c>
      <c r="C982" s="3" t="str">
        <v>P:P&amp;I</v>
      </c>
      <c r="D982" s="3">
        <f>D981+1</f>
        <v>1155</v>
      </c>
      <c r="E982" s="3" t="str">
        <f>CONCAT("Q","/",LEFT(Table2[[#This Row],[Quotation Type]],1),"/", LEFT(Table2[[#This Row],[Branch]],1),"/", RIGHT(YEAR(TODAY()),2), "/",Table2[[#This Row],[Seq. Number]])</f>
        <v>Q/R/P/26/1155</v>
      </c>
      <c r="G982" s="3" t="str">
        <v>Novaya Zemlya</v>
      </c>
      <c r="I982" s="3" t="str">
        <v>GC</v>
      </c>
      <c r="J982" s="3" t="str">
        <v>Profinsure</v>
      </c>
    </row>
    <row r="983">
      <c r="A983" s="3">
        <v>45806</v>
      </c>
      <c r="B983" s="3" t="str">
        <v>N:New Quotation</v>
      </c>
      <c r="C983" s="3" t="str">
        <v>P:P&amp;I</v>
      </c>
      <c r="D983" s="3">
        <f>D982+1</f>
        <v>1156</v>
      </c>
      <c r="E983" s="3" t="str">
        <f>CONCAT("Q","/",LEFT(Table2[[#This Row],[Quotation Type]],1),"/", LEFT(Table2[[#This Row],[Branch]],1),"/", RIGHT(YEAR(TODAY()),2), "/",Table2[[#This Row],[Seq. Number]])</f>
        <v>Q/N/P/26/1156</v>
      </c>
      <c r="G983" s="3" t="str">
        <v>MTG</v>
      </c>
      <c r="I983" s="3" t="str">
        <v>Tug</v>
      </c>
      <c r="J983" s="3" t="str">
        <v>SSS</v>
      </c>
    </row>
    <row r="984">
      <c r="A984" s="3">
        <v>45810</v>
      </c>
      <c r="B984" s="3" t="str">
        <v>N:New Quotation</v>
      </c>
      <c r="C984" s="3" t="str">
        <v>P:P&amp;I</v>
      </c>
      <c r="D984" s="3">
        <f>D983+1</f>
        <v>1157</v>
      </c>
      <c r="E984" s="3" t="str">
        <f>CONCAT("Q","/",LEFT(Table2[[#This Row],[Quotation Type]],1),"/", LEFT(Table2[[#This Row],[Branch]],1),"/", RIGHT(YEAR(TODAY()),2), "/",Table2[[#This Row],[Seq. Number]])</f>
        <v>Q/N/P/26/1157</v>
      </c>
      <c r="F984" s="3" t="str">
        <v>TBS Shipping</v>
      </c>
      <c r="I984" s="3" t="str">
        <v>GC</v>
      </c>
      <c r="J984" s="3" t="str">
        <v>Elbdolphons</v>
      </c>
    </row>
    <row r="985">
      <c r="A985" s="3">
        <v>45810</v>
      </c>
      <c r="B985" s="3" t="str">
        <v>R:Renewal</v>
      </c>
      <c r="C985" s="3" t="str">
        <v>W:War</v>
      </c>
      <c r="D985" s="3">
        <f>D984+1</f>
        <v>1158</v>
      </c>
      <c r="E985" s="3" t="str">
        <f>CONCAT("Q","/",LEFT(Table2[[#This Row],[Quotation Type]],1),"/", LEFT(Table2[[#This Row],[Branch]],1),"/", RIGHT(YEAR(TODAY()),2), "/",Table2[[#This Row],[Seq. Number]])</f>
        <v>Q/R/W/26/1158</v>
      </c>
      <c r="G985" s="3" t="str">
        <v>Nomiki</v>
      </c>
      <c r="I985" s="3" t="str">
        <v>O/T</v>
      </c>
      <c r="J985" s="3" t="str">
        <v>City</v>
      </c>
    </row>
    <row r="986">
      <c r="A986" s="3">
        <v>45817</v>
      </c>
      <c r="B986" s="3" t="str">
        <v>R:Renewal</v>
      </c>
      <c r="C986" s="3" t="str">
        <v>H:Hull</v>
      </c>
      <c r="D986" s="3">
        <f>D985+1</f>
        <v>1159</v>
      </c>
      <c r="E986" s="3" t="str">
        <f>CONCAT("Q","/",LEFT(Table2[[#This Row],[Quotation Type]],1),"/", LEFT(Table2[[#This Row],[Branch]],1),"/", RIGHT(YEAR(TODAY()),2), "/",Table2[[#This Row],[Seq. Number]])</f>
        <v>Q/R/H/26/1159</v>
      </c>
      <c r="G986" s="3" t="str">
        <v>GF Trader</v>
      </c>
      <c r="I986" s="3" t="str">
        <v>BC</v>
      </c>
      <c r="J986" s="3" t="str">
        <v>SSS</v>
      </c>
    </row>
    <row r="987">
      <c r="A987" s="3">
        <v>45818</v>
      </c>
      <c r="B987" s="3" t="str">
        <v>R:Renewal</v>
      </c>
      <c r="C987" s="3" t="str">
        <v>P:P&amp;I</v>
      </c>
      <c r="D987" s="3">
        <f>D986+1</f>
        <v>1160</v>
      </c>
      <c r="E987" s="3" t="str">
        <f>CONCAT("Q","/",LEFT(Table2[[#This Row],[Quotation Type]],1),"/", LEFT(Table2[[#This Row],[Branch]],1),"/", RIGHT(YEAR(TODAY()),2), "/",Table2[[#This Row],[Seq. Number]])</f>
        <v>Q/R/P/26/1160</v>
      </c>
      <c r="G987" s="3" t="str">
        <v>H M</v>
      </c>
      <c r="I987" s="3" t="str">
        <v>GC</v>
      </c>
      <c r="J987" s="3" t="str">
        <v>Shady Saab</v>
      </c>
    </row>
    <row r="988">
      <c r="A988" s="3">
        <v>45818</v>
      </c>
      <c r="B988" s="3" t="str">
        <v>N:New Quotation</v>
      </c>
      <c r="C988" s="3" t="str">
        <v>H:Hull</v>
      </c>
      <c r="D988" s="3">
        <f>D987+1</f>
        <v>1161</v>
      </c>
      <c r="E988" s="3" t="str">
        <f>CONCAT("Q","/",LEFT(Table2[[#This Row],[Quotation Type]],1),"/", LEFT(Table2[[#This Row],[Branch]],1),"/", RIGHT(YEAR(TODAY()),2), "/",Table2[[#This Row],[Seq. Number]])</f>
        <v>Q/N/H/26/1161</v>
      </c>
      <c r="G988" s="3" t="str">
        <v>Oyster Bank</v>
      </c>
      <c r="I988" s="3" t="str">
        <v>Supply Vessel</v>
      </c>
      <c r="J988" s="3" t="str">
        <v>City</v>
      </c>
    </row>
    <row r="989">
      <c r="A989" s="3">
        <v>45818</v>
      </c>
      <c r="B989" s="3" t="str">
        <v>N:New Quotation</v>
      </c>
      <c r="C989" s="3" t="str">
        <v>W:War</v>
      </c>
      <c r="D989" s="3">
        <f>D988+1</f>
        <v>1162</v>
      </c>
      <c r="E989" s="3" t="str">
        <f>CONCAT("Q","/",LEFT(Table2[[#This Row],[Quotation Type]],1),"/", LEFT(Table2[[#This Row],[Branch]],1),"/", RIGHT(YEAR(TODAY()),2), "/",Table2[[#This Row],[Seq. Number]])</f>
        <v>Q/N/W/26/1162</v>
      </c>
      <c r="G989" s="3" t="str">
        <v>Oyster Bank</v>
      </c>
      <c r="I989" s="3" t="str">
        <v>Supply Vessel</v>
      </c>
      <c r="J989" s="3" t="str">
        <v>City</v>
      </c>
    </row>
    <row r="990">
      <c r="A990" s="3">
        <v>45818</v>
      </c>
      <c r="B990" s="3" t="str">
        <v>N:New Quotation</v>
      </c>
      <c r="C990" s="3" t="str">
        <v>H:Hull</v>
      </c>
      <c r="D990" s="3">
        <f>D989+1</f>
        <v>1163</v>
      </c>
      <c r="E990" s="3" t="str">
        <f>CONCAT("Q","/",LEFT(Table2[[#This Row],[Quotation Type]],1),"/", LEFT(Table2[[#This Row],[Branch]],1),"/", RIGHT(YEAR(TODAY()),2), "/",Table2[[#This Row],[Seq. Number]])</f>
        <v>Q/N/H/26/1163</v>
      </c>
      <c r="G990" s="3" t="str">
        <v>Al Marfa 103-105</v>
      </c>
      <c r="I990" s="3" t="str">
        <v>Crew Boat</v>
      </c>
      <c r="J990" s="3" t="str">
        <v>Direct</v>
      </c>
    </row>
    <row r="991">
      <c r="A991" s="3">
        <v>45818</v>
      </c>
      <c r="B991" s="3" t="str">
        <v>N:New Quotation</v>
      </c>
      <c r="C991" s="3" t="str">
        <v>P:P&amp;I</v>
      </c>
      <c r="D991" s="3">
        <f>D990+1</f>
        <v>1164</v>
      </c>
      <c r="E991" s="3" t="str">
        <f>CONCAT("Q","/",LEFT(Table2[[#This Row],[Quotation Type]],1),"/", LEFT(Table2[[#This Row],[Branch]],1),"/", RIGHT(YEAR(TODAY()),2), "/",Table2[[#This Row],[Seq. Number]])</f>
        <v>Q/N/P/26/1164</v>
      </c>
      <c r="G991" s="3" t="str">
        <v>Al Marfa 103-105</v>
      </c>
      <c r="I991" s="3" t="str">
        <v>Crew Boat</v>
      </c>
      <c r="J991" s="3" t="str">
        <v>Direct</v>
      </c>
    </row>
    <row r="992">
      <c r="A992" s="3">
        <v>45820</v>
      </c>
      <c r="B992" s="3" t="str">
        <v>A:Addition</v>
      </c>
      <c r="C992" s="3" t="str">
        <v>P:P&amp;I</v>
      </c>
      <c r="D992" s="3">
        <f>D991+1</f>
        <v>1165</v>
      </c>
      <c r="E992" s="3" t="str">
        <f>CONCAT("Q","/",LEFT(Table2[[#This Row],[Quotation Type]],1),"/", LEFT(Table2[[#This Row],[Branch]],1),"/", RIGHT(YEAR(TODAY()),2), "/",Table2[[#This Row],[Seq. Number]])</f>
        <v>Q/A/P/26/1165</v>
      </c>
      <c r="G992" s="3" t="str">
        <v>Atlas Bey</v>
      </c>
      <c r="I992" s="3" t="str">
        <v>GC</v>
      </c>
      <c r="J992" s="3" t="str">
        <v>Profinsure</v>
      </c>
    </row>
    <row r="993">
      <c r="A993" s="3">
        <v>45821</v>
      </c>
      <c r="B993" s="3" t="str">
        <v>R:Renewal</v>
      </c>
      <c r="C993" s="3" t="str">
        <v>P:P&amp;I</v>
      </c>
      <c r="D993" s="3">
        <f>D992+1</f>
        <v>1166</v>
      </c>
      <c r="E993" s="3" t="str">
        <f>CONCAT("Q","/",LEFT(Table2[[#This Row],[Quotation Type]],1),"/", LEFT(Table2[[#This Row],[Branch]],1),"/", RIGHT(YEAR(TODAY()),2), "/",Table2[[#This Row],[Seq. Number]])</f>
        <v>Q/R/P/26/1166</v>
      </c>
      <c r="G993" s="3" t="str">
        <v>Jersey</v>
      </c>
      <c r="I993" s="3" t="str">
        <v>MLV</v>
      </c>
      <c r="J993" s="3" t="str">
        <v>Observator</v>
      </c>
    </row>
    <row r="994">
      <c r="A994" s="3">
        <v>45821</v>
      </c>
      <c r="B994" s="3" t="str">
        <v>R:Renewal</v>
      </c>
      <c r="C994" s="3" t="str">
        <v>P:P&amp;I</v>
      </c>
      <c r="D994" s="3">
        <f>D993+1</f>
        <v>1167</v>
      </c>
      <c r="E994" s="3" t="str">
        <f>CONCAT("Q","/",LEFT(Table2[[#This Row],[Quotation Type]],1),"/", LEFT(Table2[[#This Row],[Branch]],1),"/", RIGHT(YEAR(TODAY()),2), "/",Table2[[#This Row],[Seq. Number]])</f>
        <v>Q/R/P/26/1167</v>
      </c>
      <c r="F994" s="3" t="str">
        <v>El Reedy Shipping</v>
      </c>
      <c r="G994" s="3" t="str">
        <v>Mar Bianco</v>
      </c>
      <c r="I994" s="3" t="str">
        <v>GC</v>
      </c>
      <c r="J994" s="3" t="str">
        <v>Ferrari</v>
      </c>
    </row>
    <row r="995">
      <c r="A995" s="3">
        <v>45821</v>
      </c>
      <c r="B995" s="3" t="str">
        <v>R:Renewal</v>
      </c>
      <c r="C995" s="3" t="str">
        <v>H:Hull</v>
      </c>
      <c r="D995" s="3">
        <f>D994+1</f>
        <v>1168</v>
      </c>
      <c r="E995" s="3" t="str">
        <f>CONCAT("Q","/",LEFT(Table2[[#This Row],[Quotation Type]],1),"/", LEFT(Table2[[#This Row],[Branch]],1),"/", RIGHT(YEAR(TODAY()),2), "/",Table2[[#This Row],[Seq. Number]])</f>
        <v>Q/R/H/26/1168</v>
      </c>
      <c r="F995" s="3" t="str">
        <v>El Reedy Shipping</v>
      </c>
      <c r="I995" s="3" t="str">
        <v>BC</v>
      </c>
      <c r="J995" s="3" t="str">
        <v xml:space="preserve">Mesco </v>
      </c>
    </row>
    <row r="996">
      <c r="A996" s="3">
        <v>45821</v>
      </c>
      <c r="B996" s="3" t="str">
        <v>R:Renewal</v>
      </c>
      <c r="C996" s="3" t="str">
        <v>W:War</v>
      </c>
      <c r="D996" s="3">
        <f>D995+1</f>
        <v>1169</v>
      </c>
      <c r="E996" s="3" t="str">
        <f>CONCAT("Q","/",LEFT(Table2[[#This Row],[Quotation Type]],1),"/", LEFT(Table2[[#This Row],[Branch]],1),"/", RIGHT(YEAR(TODAY()),2), "/",Table2[[#This Row],[Seq. Number]])</f>
        <v>Q/R/W/26/1169</v>
      </c>
      <c r="F996" s="3" t="str">
        <v>El Reedy Shipping</v>
      </c>
      <c r="I996" s="3" t="str">
        <v>BC</v>
      </c>
      <c r="J996" s="3" t="str">
        <v>Mesco</v>
      </c>
    </row>
    <row r="997">
      <c r="A997" s="3">
        <v>45825</v>
      </c>
      <c r="B997" s="3" t="str">
        <v>N:New Quotation</v>
      </c>
      <c r="C997" s="3" t="str">
        <v>H:Hull</v>
      </c>
      <c r="D997" s="3">
        <f>D996+1</f>
        <v>1170</v>
      </c>
      <c r="E997" s="3" t="str">
        <f>CONCAT("Q","/",LEFT(Table2[[#This Row],[Quotation Type]],1),"/", LEFT(Table2[[#This Row],[Branch]],1),"/", RIGHT(YEAR(TODAY()),2), "/",Table2[[#This Row],[Seq. Number]])</f>
        <v>Q/N/H/26/1170</v>
      </c>
      <c r="G997" s="3" t="str">
        <v>Arolia</v>
      </c>
      <c r="I997" s="3" t="str">
        <v>O/T</v>
      </c>
      <c r="J997" s="3" t="str">
        <v>City</v>
      </c>
    </row>
    <row r="998">
      <c r="A998" s="3">
        <v>45825</v>
      </c>
      <c r="B998" s="3" t="str">
        <v>N:New Quotation</v>
      </c>
      <c r="C998" s="3" t="str">
        <v>W:War</v>
      </c>
      <c r="D998" s="3">
        <f>D997+1</f>
        <v>1171</v>
      </c>
      <c r="E998" s="3" t="str">
        <f>CONCAT("Q","/",LEFT(Table2[[#This Row],[Quotation Type]],1),"/", LEFT(Table2[[#This Row],[Branch]],1),"/", RIGHT(YEAR(TODAY()),2), "/",Table2[[#This Row],[Seq. Number]])</f>
        <v>Q/N/W/26/1171</v>
      </c>
      <c r="G998" s="3" t="str">
        <v>Arolia</v>
      </c>
      <c r="I998" s="3" t="str">
        <v>O/T</v>
      </c>
      <c r="J998" s="3" t="str">
        <v>City</v>
      </c>
    </row>
    <row r="999">
      <c r="A999" s="3">
        <v>45826</v>
      </c>
      <c r="B999" s="3" t="str">
        <v>R:Renewal</v>
      </c>
      <c r="C999" s="3" t="str">
        <v>H:Hull</v>
      </c>
      <c r="D999" s="3">
        <f>D998+1</f>
        <v>1172</v>
      </c>
      <c r="E999" s="3" t="str">
        <f>CONCAT("Q","/",LEFT(Table2[[#This Row],[Quotation Type]],1),"/", LEFT(Table2[[#This Row],[Branch]],1),"/", RIGHT(YEAR(TODAY()),2), "/",Table2[[#This Row],[Seq. Number]])</f>
        <v>Q/R/H/26/1172</v>
      </c>
      <c r="G999" s="3" t="str">
        <v xml:space="preserve">Atlantis </v>
      </c>
      <c r="I999" s="3" t="str">
        <v>O/T</v>
      </c>
      <c r="J999" s="3" t="str">
        <v>Kominsur</v>
      </c>
    </row>
    <row r="1000">
      <c r="A1000" s="3">
        <v>45826</v>
      </c>
      <c r="B1000" s="3" t="str">
        <v>R:Renewal</v>
      </c>
      <c r="C1000" s="3" t="str">
        <v>W:War</v>
      </c>
      <c r="D1000" s="3">
        <f>D999+1</f>
        <v>1173</v>
      </c>
      <c r="E1000" s="3" t="str">
        <f>CONCAT("Q","/",LEFT(Table2[[#This Row],[Quotation Type]],1),"/", LEFT(Table2[[#This Row],[Branch]],1),"/", RIGHT(YEAR(TODAY()),2), "/",Table2[[#This Row],[Seq. Number]])</f>
        <v>Q/R/W/26/1173</v>
      </c>
      <c r="G1000" s="3" t="str">
        <v xml:space="preserve">Atlantis </v>
      </c>
      <c r="I1000" s="3" t="str">
        <v>O/T</v>
      </c>
      <c r="J1000" s="3" t="str">
        <v>Kominsur</v>
      </c>
    </row>
    <row r="1001">
      <c r="A1001" s="3">
        <v>45826</v>
      </c>
      <c r="B1001" s="3" t="str">
        <v>R:Renewal</v>
      </c>
      <c r="C1001" s="3" t="str">
        <v>H:Hull</v>
      </c>
      <c r="D1001" s="3">
        <f>D1000+1</f>
        <v>1174</v>
      </c>
      <c r="E1001" s="3" t="str">
        <f>CONCAT("Q","/",LEFT(Table2[[#This Row],[Quotation Type]],1),"/", LEFT(Table2[[#This Row],[Branch]],1),"/", RIGHT(YEAR(TODAY()),2), "/",Table2[[#This Row],[Seq. Number]])</f>
        <v>Q/R/H/26/1174</v>
      </c>
      <c r="G1001" s="3" t="str">
        <v>Indian Ocean</v>
      </c>
      <c r="I1001" s="3" t="str">
        <v>GC</v>
      </c>
      <c r="J1001" s="3" t="str">
        <v>CIB</v>
      </c>
    </row>
    <row r="1002">
      <c r="A1002" s="3">
        <v>45826</v>
      </c>
      <c r="B1002" s="3" t="str">
        <v>R:Renewal</v>
      </c>
      <c r="C1002" s="3" t="str">
        <v>P:P&amp;I</v>
      </c>
      <c r="D1002" s="3">
        <f>D1001+1</f>
        <v>1175</v>
      </c>
      <c r="E1002" s="3" t="str">
        <f>CONCAT("Q","/",LEFT(Table2[[#This Row],[Quotation Type]],1),"/", LEFT(Table2[[#This Row],[Branch]],1),"/", RIGHT(YEAR(TODAY()),2), "/",Table2[[#This Row],[Seq. Number]])</f>
        <v>Q/R/P/26/1175</v>
      </c>
      <c r="G1002" s="3" t="str">
        <v>Indian Ocean</v>
      </c>
      <c r="I1002" s="3" t="str">
        <v>GC</v>
      </c>
      <c r="J1002" s="3" t="str">
        <v>CIB</v>
      </c>
    </row>
    <row r="1003">
      <c r="A1003" s="3">
        <v>45826</v>
      </c>
      <c r="B1003" s="3" t="str">
        <v>R:Renewal</v>
      </c>
      <c r="C1003" s="3" t="str">
        <v>W:War</v>
      </c>
      <c r="D1003" s="3">
        <f>D1002+1</f>
        <v>1176</v>
      </c>
      <c r="E1003" s="3" t="str">
        <f>CONCAT("Q","/",LEFT(Table2[[#This Row],[Quotation Type]],1),"/", LEFT(Table2[[#This Row],[Branch]],1),"/", RIGHT(YEAR(TODAY()),2), "/",Table2[[#This Row],[Seq. Number]])</f>
        <v>Q/R/W/26/1176</v>
      </c>
      <c r="G1003" s="3" t="str">
        <v>Indian Ocean</v>
      </c>
      <c r="I1003" s="3" t="str">
        <v>GC</v>
      </c>
      <c r="J1003" s="3" t="str">
        <v>CIB</v>
      </c>
    </row>
    <row r="1004">
      <c r="A1004" s="3">
        <v>45827</v>
      </c>
      <c r="B1004" s="3" t="str">
        <v>R:Renewal</v>
      </c>
      <c r="C1004" s="3" t="str">
        <v>P:P&amp;I</v>
      </c>
      <c r="D1004" s="3">
        <f>D1003+1</f>
        <v>1177</v>
      </c>
      <c r="E1004" s="3" t="str">
        <f>CONCAT("Q","/",LEFT(Table2[[#This Row],[Quotation Type]],1),"/", LEFT(Table2[[#This Row],[Branch]],1),"/", RIGHT(YEAR(TODAY()),2), "/",Table2[[#This Row],[Seq. Number]])</f>
        <v>Q/R/P/26/1177</v>
      </c>
      <c r="G1004" s="3" t="str">
        <v>AB HEIDI</v>
      </c>
      <c r="I1004" s="3" t="str">
        <v>GC</v>
      </c>
      <c r="J1004" s="3" t="str">
        <v>Direct</v>
      </c>
    </row>
    <row r="1005">
      <c r="A1005" s="3">
        <v>45827</v>
      </c>
      <c r="B1005" s="3" t="str">
        <v>R:Renewal</v>
      </c>
      <c r="C1005" s="3" t="str">
        <v>P:P&amp;I</v>
      </c>
      <c r="D1005" s="3">
        <f>D1004+1</f>
        <v>1178</v>
      </c>
      <c r="E1005" s="3" t="str">
        <f>CONCAT("Q","/",LEFT(Table2[[#This Row],[Quotation Type]],1),"/", LEFT(Table2[[#This Row],[Branch]],1),"/", RIGHT(YEAR(TODAY()),2), "/",Table2[[#This Row],[Seq. Number]])</f>
        <v>Q/R/P/26/1178</v>
      </c>
      <c r="G1005" s="3" t="str">
        <v>ALPHAMOON FLEET</v>
      </c>
      <c r="I1005" s="3" t="str">
        <v>GC</v>
      </c>
      <c r="J1005" s="3" t="str">
        <v>Lockton Omni</v>
      </c>
    </row>
    <row r="1006">
      <c r="A1006" s="3">
        <v>45827</v>
      </c>
      <c r="B1006" s="3" t="str">
        <v>R:Renewal</v>
      </c>
      <c r="C1006" s="3" t="str">
        <v>H:Hull</v>
      </c>
      <c r="D1006" s="3">
        <f>D1005+1</f>
        <v>1179</v>
      </c>
      <c r="E1006" s="3" t="str">
        <f>CONCAT("Q","/",LEFT(Table2[[#This Row],[Quotation Type]],1),"/", LEFT(Table2[[#This Row],[Branch]],1),"/", RIGHT(YEAR(TODAY()),2), "/",Table2[[#This Row],[Seq. Number]])</f>
        <v>Q/R/H/26/1179</v>
      </c>
      <c r="G1006" s="3" t="str">
        <v>LILY J &amp; HAJH GHSN J</v>
      </c>
      <c r="I1006" s="3" t="str">
        <v>MLV</v>
      </c>
      <c r="J1006" s="3" t="str">
        <v>Alfa Marine</v>
      </c>
    </row>
    <row r="1007">
      <c r="A1007" s="3">
        <v>45827</v>
      </c>
      <c r="B1007" s="3" t="str">
        <v>R:Renewal</v>
      </c>
      <c r="C1007" s="3" t="str">
        <v>P:P&amp;I</v>
      </c>
      <c r="D1007" s="3">
        <f>D1006+1</f>
        <v>1180</v>
      </c>
      <c r="E1007" s="3" t="str">
        <f>CONCAT("Q","/",LEFT(Table2[[#This Row],[Quotation Type]],1),"/", LEFT(Table2[[#This Row],[Branch]],1),"/", RIGHT(YEAR(TODAY()),2), "/",Table2[[#This Row],[Seq. Number]])</f>
        <v>Q/R/P/26/1180</v>
      </c>
      <c r="G1007" s="3" t="str">
        <v>LILY J &amp; HAJH GHSN J</v>
      </c>
      <c r="I1007" s="3" t="str">
        <v>MLV</v>
      </c>
      <c r="J1007" s="3" t="str">
        <v>Alfa Marine</v>
      </c>
    </row>
    <row r="1008">
      <c r="A1008" s="3">
        <v>45827</v>
      </c>
      <c r="B1008" s="3" t="str">
        <v>R:Renewal</v>
      </c>
      <c r="C1008" s="3" t="str">
        <v>W:War</v>
      </c>
      <c r="D1008" s="3">
        <f>D1007+1</f>
        <v>1181</v>
      </c>
      <c r="E1008" s="3" t="str">
        <f>CONCAT("Q","/",LEFT(Table2[[#This Row],[Quotation Type]],1),"/", LEFT(Table2[[#This Row],[Branch]],1),"/", RIGHT(YEAR(TODAY()),2), "/",Table2[[#This Row],[Seq. Number]])</f>
        <v>Q/R/W/26/1181</v>
      </c>
      <c r="G1008" s="3" t="str">
        <v>LILY J &amp; HAJH GHSN J</v>
      </c>
      <c r="I1008" s="3" t="str">
        <v>MLV</v>
      </c>
      <c r="J1008" s="3" t="str">
        <v>Alfa Marine</v>
      </c>
    </row>
    <row r="1009">
      <c r="A1009" s="3">
        <v>45827</v>
      </c>
      <c r="B1009" s="3" t="str">
        <v>R:Renewal</v>
      </c>
      <c r="C1009" s="3" t="str">
        <v>H:Hull</v>
      </c>
      <c r="D1009" s="3">
        <f>D1008+1</f>
        <v>1182</v>
      </c>
      <c r="E1009" s="3" t="str">
        <f>CONCAT("Q","/",LEFT(Table2[[#This Row],[Quotation Type]],1),"/", LEFT(Table2[[#This Row],[Branch]],1),"/", RIGHT(YEAR(TODAY()),2), "/",Table2[[#This Row],[Seq. Number]])</f>
        <v>Q/R/H/26/1182</v>
      </c>
      <c r="G1009" s="3" t="str">
        <v>Sea Rocks Shipping</v>
      </c>
      <c r="I1009" s="3" t="str">
        <v>Tug</v>
      </c>
      <c r="J1009" s="3" t="str">
        <v>IPIC</v>
      </c>
    </row>
    <row r="1010">
      <c r="A1010" s="3">
        <v>45827</v>
      </c>
      <c r="B1010" s="3" t="str">
        <v>A:Addition</v>
      </c>
      <c r="C1010" s="3" t="str">
        <v>H:Hull</v>
      </c>
      <c r="D1010" s="3">
        <f>D1009+1</f>
        <v>1183</v>
      </c>
      <c r="E1010" s="3" t="str">
        <f>CONCAT("Q","/",LEFT(Table2[[#This Row],[Quotation Type]],1),"/", LEFT(Table2[[#This Row],[Branch]],1),"/", RIGHT(YEAR(TODAY()),2), "/",Table2[[#This Row],[Seq. Number]])</f>
        <v>Q/A/H/26/1183</v>
      </c>
      <c r="G1010" s="3" t="str">
        <v>SeaBoard Ranger</v>
      </c>
      <c r="I1010" s="3" t="str">
        <v>GC</v>
      </c>
      <c r="J1010" s="3" t="str">
        <v>Mesco</v>
      </c>
    </row>
    <row r="1011">
      <c r="A1011" s="3">
        <v>45827</v>
      </c>
      <c r="B1011" s="3" t="str">
        <v>A:Addition</v>
      </c>
      <c r="C1011" s="3" t="str">
        <v>P:P&amp;I</v>
      </c>
      <c r="D1011" s="3">
        <f>D1010+1</f>
        <v>1184</v>
      </c>
      <c r="E1011" s="3" t="str">
        <f>CONCAT("Q","/",LEFT(Table2[[#This Row],[Quotation Type]],1),"/", LEFT(Table2[[#This Row],[Branch]],1),"/", RIGHT(YEAR(TODAY()),2), "/",Table2[[#This Row],[Seq. Number]])</f>
        <v>Q/A/P/26/1184</v>
      </c>
      <c r="G1011" s="3" t="str">
        <v>SeaBoard Ranger</v>
      </c>
      <c r="I1011" s="3" t="str">
        <v>GC</v>
      </c>
      <c r="J1011" s="3" t="str">
        <v>Mesco</v>
      </c>
    </row>
    <row r="1012">
      <c r="A1012" s="3">
        <v>45828</v>
      </c>
      <c r="B1012" s="3" t="str">
        <v>A:Addition</v>
      </c>
      <c r="C1012" s="3" t="str">
        <v>P:P&amp;I</v>
      </c>
      <c r="D1012" s="3">
        <f>D1011+1</f>
        <v>1185</v>
      </c>
      <c r="E1012" s="3" t="str">
        <f>CONCAT("Q","/",LEFT(Table2[[#This Row],[Quotation Type]],1),"/", LEFT(Table2[[#This Row],[Branch]],1),"/", RIGHT(YEAR(TODAY()),2), "/",Table2[[#This Row],[Seq. Number]])</f>
        <v>Q/A/P/26/1185</v>
      </c>
      <c r="G1012" s="3" t="str">
        <v>Los Amigos</v>
      </c>
      <c r="I1012" s="3" t="str">
        <v>GC</v>
      </c>
      <c r="J1012" s="3" t="str">
        <v>Ferrari</v>
      </c>
    </row>
    <row r="1013">
      <c r="A1013" s="3">
        <v>45831</v>
      </c>
      <c r="B1013" s="3" t="str">
        <v>N:New Quotation</v>
      </c>
      <c r="C1013" s="3" t="str">
        <v>H:Hull</v>
      </c>
      <c r="D1013" s="3">
        <f>D1012+1</f>
        <v>1186</v>
      </c>
      <c r="E1013" s="3" t="str">
        <f>CONCAT("Q","/",LEFT(Table2[[#This Row],[Quotation Type]],1),"/", LEFT(Table2[[#This Row],[Branch]],1),"/", RIGHT(YEAR(TODAY()),2), "/",Table2[[#This Row],[Seq. Number]])</f>
        <v>Q/N/H/26/1186</v>
      </c>
      <c r="G1013" s="3" t="str">
        <v>POLKOVNIK FESENKO V.K.</v>
      </c>
      <c r="I1013" s="3" t="str">
        <v>GC</v>
      </c>
      <c r="J1013" s="3" t="str">
        <v>Profinsure</v>
      </c>
    </row>
    <row r="1014">
      <c r="A1014" s="3">
        <v>45833</v>
      </c>
      <c r="B1014" s="3" t="str">
        <v>N:New Quotation</v>
      </c>
      <c r="C1014" s="3" t="str">
        <v>H:Hull</v>
      </c>
      <c r="D1014" s="3">
        <f>D1013+1</f>
        <v>1187</v>
      </c>
      <c r="E1014" s="3" t="str">
        <f>CONCAT("Q","/",LEFT(Table2[[#This Row],[Quotation Type]],1),"/", LEFT(Table2[[#This Row],[Branch]],1),"/", RIGHT(YEAR(TODAY()),2), "/",Table2[[#This Row],[Seq. Number]])</f>
        <v>Q/N/H/26/1187</v>
      </c>
      <c r="G1014" s="3" t="str">
        <v>Cater</v>
      </c>
      <c r="I1014" s="3" t="str">
        <v>Dredger</v>
      </c>
      <c r="J1014" s="3" t="str">
        <v>Direct</v>
      </c>
    </row>
    <row r="1015">
      <c r="A1015" s="3">
        <v>45833</v>
      </c>
      <c r="B1015" s="3" t="str">
        <v>N:New Quotation</v>
      </c>
      <c r="C1015" s="3" t="str">
        <v>H:Hull</v>
      </c>
      <c r="D1015" s="3">
        <f>D1014+1</f>
        <v>1188</v>
      </c>
      <c r="E1015" s="3" t="str">
        <f>CONCAT("Q","/",LEFT(Table2[[#This Row],[Quotation Type]],1),"/", LEFT(Table2[[#This Row],[Branch]],1),"/", RIGHT(YEAR(TODAY()),2), "/",Table2[[#This Row],[Seq. Number]])</f>
        <v>Q/N/H/26/1188</v>
      </c>
      <c r="G1015" s="3" t="str">
        <v>Dalal F</v>
      </c>
      <c r="I1015" s="3" t="str">
        <v>MLV</v>
      </c>
      <c r="J1015" s="3" t="str">
        <v>Direct</v>
      </c>
    </row>
    <row r="1016">
      <c r="A1016" s="3">
        <v>45833</v>
      </c>
      <c r="B1016" s="3" t="str">
        <v>N:New Quotation</v>
      </c>
      <c r="C1016" s="3" t="str">
        <v>P:P&amp;I</v>
      </c>
      <c r="D1016" s="3">
        <f>D1015+1</f>
        <v>1189</v>
      </c>
      <c r="E1016" s="3" t="str">
        <f>CONCAT("Q","/",LEFT(Table2[[#This Row],[Quotation Type]],1),"/", LEFT(Table2[[#This Row],[Branch]],1),"/", RIGHT(YEAR(TODAY()),2), "/",Table2[[#This Row],[Seq. Number]])</f>
        <v>Q/N/P/26/1189</v>
      </c>
      <c r="G1016" s="3" t="str">
        <v>Dalal F</v>
      </c>
      <c r="I1016" s="3" t="str">
        <v>MLV</v>
      </c>
      <c r="J1016" s="3" t="str">
        <v>Direct</v>
      </c>
    </row>
    <row r="1017">
      <c r="A1017" s="3">
        <v>45833</v>
      </c>
      <c r="B1017" s="3" t="str">
        <v>N:New Quotation</v>
      </c>
      <c r="C1017" s="3" t="str">
        <v>W:War</v>
      </c>
      <c r="D1017" s="3">
        <f>D1016+1</f>
        <v>1190</v>
      </c>
      <c r="E1017" s="3" t="str">
        <f>CONCAT("Q","/",LEFT(Table2[[#This Row],[Quotation Type]],1),"/", LEFT(Table2[[#This Row],[Branch]],1),"/", RIGHT(YEAR(TODAY()),2), "/",Table2[[#This Row],[Seq. Number]])</f>
        <v>Q/N/W/26/1190</v>
      </c>
      <c r="G1017" s="3" t="str">
        <v>PRINCESS ABIR</v>
      </c>
      <c r="J1017" s="3" t="str">
        <v>Direct</v>
      </c>
    </row>
    <row r="1018">
      <c r="A1018" s="3">
        <v>45833</v>
      </c>
      <c r="B1018" s="3" t="str">
        <v>N:New Quotation</v>
      </c>
      <c r="C1018" s="3" t="str">
        <v>P:P&amp;I</v>
      </c>
      <c r="D1018" s="3">
        <f>D1017+1</f>
        <v>1191</v>
      </c>
      <c r="E1018" s="3" t="str">
        <f>CONCAT("Q","/",LEFT(Table2[[#This Row],[Quotation Type]],1),"/", LEFT(Table2[[#This Row],[Branch]],1),"/", RIGHT(YEAR(TODAY()),2), "/",Table2[[#This Row],[Seq. Number]])</f>
        <v>Q/N/P/26/1191</v>
      </c>
      <c r="G1018" s="3" t="str">
        <v>Ranyus Navigation</v>
      </c>
      <c r="I1018" s="3" t="str">
        <v>GC</v>
      </c>
      <c r="J1018" s="3" t="str">
        <v>Direct</v>
      </c>
    </row>
    <row r="1019">
      <c r="A1019" s="3">
        <v>45833</v>
      </c>
      <c r="B1019" s="3" t="str">
        <v>N:New Quotation</v>
      </c>
      <c r="C1019" s="3" t="str">
        <v>P:P&amp;I</v>
      </c>
      <c r="D1019" s="3">
        <f>D1018+1</f>
        <v>1192</v>
      </c>
      <c r="E1019" s="3" t="str">
        <f>CONCAT("Q","/",LEFT(Table2[[#This Row],[Quotation Type]],1),"/", LEFT(Table2[[#This Row],[Branch]],1),"/", RIGHT(YEAR(TODAY()),2), "/",Table2[[#This Row],[Seq. Number]])</f>
        <v>Q/N/P/26/1192</v>
      </c>
      <c r="G1019" s="3" t="str">
        <v>Starlet</v>
      </c>
      <c r="I1019" s="3" t="str">
        <v>GC</v>
      </c>
      <c r="J1019" s="3" t="str">
        <v>Kuzey</v>
      </c>
    </row>
    <row r="1020">
      <c r="A1020" s="3">
        <v>45833</v>
      </c>
      <c r="B1020" s="3" t="str">
        <v>N:New Quotation</v>
      </c>
      <c r="C1020" s="3" t="str">
        <v>H:Hull</v>
      </c>
      <c r="D1020" s="3">
        <f>D1019+1</f>
        <v>1193</v>
      </c>
      <c r="E1020" s="3" t="str">
        <f>CONCAT("Q","/",LEFT(Table2[[#This Row],[Quotation Type]],1),"/", LEFT(Table2[[#This Row],[Branch]],1),"/", RIGHT(YEAR(TODAY()),2), "/",Table2[[#This Row],[Seq. Number]])</f>
        <v>Q/N/H/26/1193</v>
      </c>
      <c r="G1020" s="3" t="str">
        <v>Mataraci Shipping</v>
      </c>
      <c r="J1020" s="3" t="str">
        <v>Mesco</v>
      </c>
    </row>
    <row r="1021">
      <c r="A1021" s="3">
        <v>45835</v>
      </c>
      <c r="B1021" s="3" t="str">
        <v>N:New Quotation</v>
      </c>
      <c r="C1021" s="3" t="str">
        <v>W:War</v>
      </c>
      <c r="D1021" s="3">
        <f>D1020+1</f>
        <v>1194</v>
      </c>
      <c r="E1021" s="3" t="str">
        <f>CONCAT("Q","/",LEFT(Table2[[#This Row],[Quotation Type]],1),"/", LEFT(Table2[[#This Row],[Branch]],1),"/", RIGHT(YEAR(TODAY()),2), "/",Table2[[#This Row],[Seq. Number]])</f>
        <v>Q/N/W/26/1194</v>
      </c>
      <c r="G1021" s="3" t="str">
        <v>Indian Ocean</v>
      </c>
      <c r="I1021" s="3" t="str">
        <v>GC</v>
      </c>
      <c r="J1021" s="3" t="str">
        <v>CIB</v>
      </c>
    </row>
    <row r="1022">
      <c r="A1022" s="3">
        <v>45838</v>
      </c>
      <c r="B1022" s="3" t="str">
        <v>R:Renewal</v>
      </c>
      <c r="C1022" s="3" t="str">
        <v>P:P&amp;I</v>
      </c>
      <c r="D1022" s="3">
        <f>D1021+1</f>
        <v>1195</v>
      </c>
      <c r="E1022" s="3" t="str">
        <f>CONCAT("Q","/",LEFT(Table2[[#This Row],[Quotation Type]],1),"/", LEFT(Table2[[#This Row],[Branch]],1),"/", RIGHT(YEAR(TODAY()),2), "/",Table2[[#This Row],[Seq. Number]])</f>
        <v>Q/R/P/26/1195</v>
      </c>
      <c r="G1022" s="3" t="str">
        <v>Diamond Marine</v>
      </c>
      <c r="I1022" s="3" t="str">
        <v>MLV</v>
      </c>
      <c r="J1022" s="3" t="str">
        <v>Sarnia</v>
      </c>
    </row>
    <row r="1023">
      <c r="A1023" s="3">
        <v>45838</v>
      </c>
      <c r="B1023" s="3" t="str">
        <v>R:Renewal</v>
      </c>
      <c r="C1023" s="3" t="str">
        <v>W:War</v>
      </c>
      <c r="D1023" s="3">
        <f>D1022+1</f>
        <v>1196</v>
      </c>
      <c r="E1023" s="3" t="str">
        <f>CONCAT("Q","/",LEFT(Table2[[#This Row],[Quotation Type]],1),"/", LEFT(Table2[[#This Row],[Branch]],1),"/", RIGHT(YEAR(TODAY()),2), "/",Table2[[#This Row],[Seq. Number]])</f>
        <v>Q/R/W/26/1196</v>
      </c>
      <c r="G1023" s="3" t="str">
        <v>Diamond Marine</v>
      </c>
      <c r="I1023" s="3" t="str">
        <v>MLV</v>
      </c>
      <c r="J1023" s="3" t="str">
        <v>Sarnia</v>
      </c>
    </row>
    <row r="1024">
      <c r="A1024" s="3">
        <v>45839</v>
      </c>
      <c r="B1024" s="3" t="str">
        <v>R:Renewal</v>
      </c>
      <c r="C1024" s="3" t="str">
        <v>P:P&amp;I</v>
      </c>
      <c r="D1024" s="3">
        <f>D1023+1</f>
        <v>1197</v>
      </c>
      <c r="E1024" s="3" t="str">
        <f>CONCAT("Q","/",LEFT(Table2[[#This Row],[Quotation Type]],1),"/", LEFT(Table2[[#This Row],[Branch]],1),"/", RIGHT(YEAR(TODAY()),2), "/",Table2[[#This Row],[Seq. Number]])</f>
        <v>Q/R/P/26/1197</v>
      </c>
      <c r="G1024" s="3" t="str">
        <v>Millac</v>
      </c>
      <c r="I1024" s="3" t="str">
        <v>GC</v>
      </c>
      <c r="J1024" s="3" t="str">
        <v>Alfa Marine</v>
      </c>
    </row>
    <row r="1025">
      <c r="A1025" s="3">
        <v>45839</v>
      </c>
      <c r="B1025" s="3" t="str">
        <v>R:Renewal</v>
      </c>
      <c r="C1025" s="3" t="str">
        <v>P:P&amp;I</v>
      </c>
      <c r="D1025" s="3">
        <f>D1024+1</f>
        <v>1198</v>
      </c>
      <c r="E1025" s="3" t="str">
        <f>CONCAT("Q","/",LEFT(Table2[[#This Row],[Quotation Type]],1),"/", LEFT(Table2[[#This Row],[Branch]],1),"/", RIGHT(YEAR(TODAY()),2), "/",Table2[[#This Row],[Seq. Number]])</f>
        <v>Q/R/P/26/1198</v>
      </c>
      <c r="G1025" s="3" t="str">
        <v>Black Sea</v>
      </c>
      <c r="I1025" s="3" t="str">
        <v>GC</v>
      </c>
      <c r="J1025" s="3" t="str">
        <v>Alfa Marine</v>
      </c>
    </row>
    <row r="1026">
      <c r="A1026" s="3">
        <v>45839</v>
      </c>
      <c r="B1026" s="3" t="str">
        <v>N:New Quotation</v>
      </c>
      <c r="C1026" s="3" t="str">
        <v>H:Hull</v>
      </c>
      <c r="D1026" s="3">
        <f>D1025+1</f>
        <v>1199</v>
      </c>
      <c r="E1026" s="3" t="str">
        <f>CONCAT("Q","/",LEFT(Table2[[#This Row],[Quotation Type]],1),"/", LEFT(Table2[[#This Row],[Branch]],1),"/", RIGHT(YEAR(TODAY()),2), "/",Table2[[#This Row],[Seq. Number]])</f>
        <v>Q/N/H/26/1199</v>
      </c>
      <c r="G1026" s="3" t="str">
        <v>Outlander</v>
      </c>
      <c r="I1026" s="3" t="str">
        <v>BC</v>
      </c>
      <c r="J1026" s="3" t="str">
        <v>SSS</v>
      </c>
    </row>
    <row r="1027">
      <c r="A1027" s="3">
        <v>45839</v>
      </c>
      <c r="B1027" s="3" t="str">
        <v>R:Renewal</v>
      </c>
      <c r="C1027" s="3" t="str">
        <v>P:P&amp;I</v>
      </c>
      <c r="D1027" s="3">
        <f>D1026+1</f>
        <v>1200</v>
      </c>
      <c r="E1027" s="3" t="str">
        <f>CONCAT("Q","/",LEFT(Table2[[#This Row],[Quotation Type]],1),"/", LEFT(Table2[[#This Row],[Branch]],1),"/", RIGHT(YEAR(TODAY()),2), "/",Table2[[#This Row],[Seq. Number]])</f>
        <v>Q/R/P/26/1200</v>
      </c>
      <c r="G1027" s="3" t="str">
        <v>Harmony Livestock</v>
      </c>
      <c r="I1027" s="3" t="str">
        <v>MLV</v>
      </c>
      <c r="J1027" s="3" t="str">
        <v>Observator</v>
      </c>
    </row>
    <row r="1028">
      <c r="A1028" s="3">
        <v>45839</v>
      </c>
      <c r="B1028" s="3" t="str">
        <v>R:Renewal</v>
      </c>
      <c r="C1028" s="3" t="str">
        <v>P:P&amp;I</v>
      </c>
      <c r="D1028" s="3">
        <f>D1027+1</f>
        <v>1201</v>
      </c>
      <c r="E1028" s="3" t="str">
        <f>CONCAT("Q","/",LEFT(Table2[[#This Row],[Quotation Type]],1),"/", LEFT(Table2[[#This Row],[Branch]],1),"/", RIGHT(YEAR(TODAY()),2), "/",Table2[[#This Row],[Seq. Number]])</f>
        <v>Q/R/P/26/1201</v>
      </c>
      <c r="G1028" s="3" t="str">
        <v>Unimar Livestock</v>
      </c>
      <c r="I1028" s="3" t="str">
        <v>MLV</v>
      </c>
      <c r="J1028" s="3" t="str">
        <v>Direct</v>
      </c>
    </row>
    <row r="1029">
      <c r="A1029" s="3">
        <v>45839</v>
      </c>
      <c r="B1029" s="3" t="str">
        <v>R:Renewal</v>
      </c>
      <c r="C1029" s="3" t="str">
        <v>H:Hull</v>
      </c>
      <c r="D1029" s="3">
        <f>D1028+1</f>
        <v>1202</v>
      </c>
      <c r="E1029" s="3" t="str">
        <f>CONCAT("Q","/",LEFT(Table2[[#This Row],[Quotation Type]],1),"/", LEFT(Table2[[#This Row],[Branch]],1),"/", RIGHT(YEAR(TODAY()),2), "/",Table2[[#This Row],[Seq. Number]])</f>
        <v>Q/R/H/26/1202</v>
      </c>
      <c r="G1029" s="3" t="str">
        <v>Unimar Livestock</v>
      </c>
      <c r="I1029" s="3" t="str">
        <v>MLV</v>
      </c>
      <c r="J1029" s="3" t="str">
        <v>Direct</v>
      </c>
    </row>
    <row r="1030">
      <c r="A1030" s="3">
        <v>45839</v>
      </c>
      <c r="B1030" s="3" t="str">
        <v>R:Renewal</v>
      </c>
      <c r="C1030" s="3" t="str">
        <v>W:War</v>
      </c>
      <c r="D1030" s="3">
        <f>D1029+1</f>
        <v>1203</v>
      </c>
      <c r="E1030" s="3" t="str">
        <f>CONCAT("Q","/",LEFT(Table2[[#This Row],[Quotation Type]],1),"/", LEFT(Table2[[#This Row],[Branch]],1),"/", RIGHT(YEAR(TODAY()),2), "/",Table2[[#This Row],[Seq. Number]])</f>
        <v>Q/R/W/26/1203</v>
      </c>
      <c r="G1030" s="3" t="str">
        <v>Unimar Livestock</v>
      </c>
      <c r="I1030" s="3" t="str">
        <v>MLV</v>
      </c>
      <c r="J1030" s="3" t="str">
        <v>Direct</v>
      </c>
    </row>
    <row r="1031">
      <c r="A1031" s="3">
        <v>45839</v>
      </c>
      <c r="B1031" s="3" t="str">
        <v>R:Renewal</v>
      </c>
      <c r="C1031" s="3" t="str">
        <v>H:Hull</v>
      </c>
      <c r="D1031" s="3">
        <f>D1030+1</f>
        <v>1204</v>
      </c>
      <c r="E1031" s="3" t="str">
        <f>CONCAT("Q","/",LEFT(Table2[[#This Row],[Quotation Type]],1),"/", LEFT(Table2[[#This Row],[Branch]],1),"/", RIGHT(YEAR(TODAY()),2), "/",Table2[[#This Row],[Seq. Number]])</f>
        <v>Q/R/H/26/1204</v>
      </c>
      <c r="G1031" s="3" t="str">
        <v>Margaux</v>
      </c>
      <c r="I1031" s="3" t="str">
        <v>GC</v>
      </c>
      <c r="J1031" s="3" t="str">
        <v>Direct</v>
      </c>
    </row>
    <row r="1032">
      <c r="A1032" s="3">
        <v>45839</v>
      </c>
      <c r="B1032" s="3" t="str">
        <v>R:Renewal</v>
      </c>
      <c r="C1032" s="3" t="str">
        <v>W:War</v>
      </c>
      <c r="D1032" s="3">
        <f>D1031+1</f>
        <v>1205</v>
      </c>
      <c r="E1032" s="3" t="str">
        <f>CONCAT("Q","/",LEFT(Table2[[#This Row],[Quotation Type]],1),"/", LEFT(Table2[[#This Row],[Branch]],1),"/", RIGHT(YEAR(TODAY()),2), "/",Table2[[#This Row],[Seq. Number]])</f>
        <v>Q/R/W/26/1205</v>
      </c>
      <c r="G1032" s="3" t="str">
        <v>Margaux</v>
      </c>
      <c r="I1032" s="3" t="str">
        <v>GC</v>
      </c>
      <c r="J1032" s="3" t="str">
        <v>Direct</v>
      </c>
    </row>
    <row r="1033">
      <c r="A1033" s="3">
        <v>45839</v>
      </c>
      <c r="B1033" s="3" t="str">
        <v>R:Renewal</v>
      </c>
      <c r="C1033" s="3" t="str">
        <v>P:P&amp;I</v>
      </c>
      <c r="D1033" s="3">
        <f>D1032+1</f>
        <v>1206</v>
      </c>
      <c r="E1033" s="3" t="str">
        <f>CONCAT("Q","/",LEFT(Table2[[#This Row],[Quotation Type]],1),"/", LEFT(Table2[[#This Row],[Branch]],1),"/", RIGHT(YEAR(TODAY()),2), "/",Table2[[#This Row],[Seq. Number]])</f>
        <v>Q/R/P/26/1206</v>
      </c>
      <c r="G1033" s="3" t="str">
        <v>NADER-A</v>
      </c>
      <c r="I1033" s="3" t="str">
        <v>MLV</v>
      </c>
      <c r="J1033" s="3" t="str">
        <v>Direct</v>
      </c>
    </row>
    <row r="1034">
      <c r="A1034" s="3">
        <v>45839</v>
      </c>
      <c r="B1034" s="3" t="str">
        <v>R:Renewal</v>
      </c>
      <c r="C1034" s="3" t="str">
        <v>H:Hull</v>
      </c>
      <c r="D1034" s="3">
        <f>D1033+1</f>
        <v>1207</v>
      </c>
      <c r="E1034" s="3" t="str">
        <f>CONCAT("Q","/",LEFT(Table2[[#This Row],[Quotation Type]],1),"/", LEFT(Table2[[#This Row],[Branch]],1),"/", RIGHT(YEAR(TODAY()),2), "/",Table2[[#This Row],[Seq. Number]])</f>
        <v>Q/R/H/26/1207</v>
      </c>
      <c r="G1034" s="3" t="str">
        <v>Al Marfa 101-102</v>
      </c>
      <c r="J1034" s="3" t="str">
        <v>Direct</v>
      </c>
    </row>
    <row r="1035">
      <c r="A1035" s="3">
        <v>45839</v>
      </c>
      <c r="B1035" s="3" t="str">
        <v>R:Renewal</v>
      </c>
      <c r="C1035" s="3" t="str">
        <v>P:P&amp;I</v>
      </c>
      <c r="D1035" s="3">
        <f>D1034+1</f>
        <v>1208</v>
      </c>
      <c r="E1035" s="3" t="str">
        <f>CONCAT("Q","/",LEFT(Table2[[#This Row],[Quotation Type]],1),"/", LEFT(Table2[[#This Row],[Branch]],1),"/", RIGHT(YEAR(TODAY()),2), "/",Table2[[#This Row],[Seq. Number]])</f>
        <v>Q/R/P/26/1208</v>
      </c>
      <c r="G1035" s="3" t="str">
        <v>Al Marfa 101-102</v>
      </c>
      <c r="J1035" s="3" t="str">
        <v>Direct</v>
      </c>
    </row>
    <row r="1036">
      <c r="A1036" s="3">
        <v>45840</v>
      </c>
      <c r="B1036" s="3" t="str">
        <v>N:New Quotation</v>
      </c>
      <c r="C1036" s="3" t="str">
        <v>H:Hull</v>
      </c>
      <c r="D1036" s="3">
        <f>D1035+1</f>
        <v>1209</v>
      </c>
      <c r="E1036" s="3" t="str">
        <f>CONCAT("Q","/",LEFT(Table2[[#This Row],[Quotation Type]],1),"/", LEFT(Table2[[#This Row],[Branch]],1),"/", RIGHT(YEAR(TODAY()),2), "/",Table2[[#This Row],[Seq. Number]])</f>
        <v>Q/N/H/26/1209</v>
      </c>
      <c r="G1036" s="3" t="str">
        <v>Simba</v>
      </c>
      <c r="I1036" s="3" t="str">
        <v>Tug</v>
      </c>
      <c r="J1036" s="3" t="str">
        <v>Direct</v>
      </c>
    </row>
    <row r="1037">
      <c r="A1037" s="3">
        <v>45841</v>
      </c>
      <c r="B1037" s="3" t="str">
        <v>R:Renewal</v>
      </c>
      <c r="C1037" s="3" t="str">
        <v>H:Hull</v>
      </c>
      <c r="D1037" s="3">
        <f>D1036+1</f>
        <v>1210</v>
      </c>
      <c r="E1037" s="3" t="str">
        <f>CONCAT("Q","/",LEFT(Table2[[#This Row],[Quotation Type]],1),"/", LEFT(Table2[[#This Row],[Branch]],1),"/", RIGHT(YEAR(TODAY()),2), "/",Table2[[#This Row],[Seq. Number]])</f>
        <v>Q/R/H/26/1210</v>
      </c>
      <c r="G1037" s="3" t="str">
        <v>TAIBA</v>
      </c>
      <c r="I1037" s="3" t="str">
        <v>MLV</v>
      </c>
      <c r="J1037" s="3" t="str">
        <v>Direct</v>
      </c>
    </row>
    <row r="1038">
      <c r="A1038" s="3">
        <v>45841</v>
      </c>
      <c r="B1038" s="3" t="str">
        <v>R:Renewal</v>
      </c>
      <c r="C1038" s="3" t="str">
        <v>P:P&amp;I</v>
      </c>
      <c r="D1038" s="3">
        <f>D1037+1</f>
        <v>1211</v>
      </c>
      <c r="E1038" s="3" t="str">
        <f>CONCAT("Q","/",LEFT(Table2[[#This Row],[Quotation Type]],1),"/", LEFT(Table2[[#This Row],[Branch]],1),"/", RIGHT(YEAR(TODAY()),2), "/",Table2[[#This Row],[Seq. Number]])</f>
        <v>Q/R/P/26/1211</v>
      </c>
      <c r="G1038" s="3" t="str">
        <v>PRINCESS MARIAM</v>
      </c>
      <c r="I1038" s="3" t="str">
        <v>GC</v>
      </c>
      <c r="J1038" s="3" t="str">
        <v xml:space="preserve">Bernard Shipping </v>
      </c>
    </row>
    <row r="1039">
      <c r="A1039" s="3">
        <v>45841</v>
      </c>
      <c r="B1039" s="3" t="str">
        <v>R:Renewal</v>
      </c>
      <c r="C1039" s="3" t="str">
        <v>H:Hull</v>
      </c>
      <c r="D1039" s="3">
        <f>D1038+1</f>
        <v>1212</v>
      </c>
      <c r="E1039" s="3" t="str">
        <f>CONCAT("Q","/",LEFT(Table2[[#This Row],[Quotation Type]],1),"/", LEFT(Table2[[#This Row],[Branch]],1),"/", RIGHT(YEAR(TODAY()),2), "/",Table2[[#This Row],[Seq. Number]])</f>
        <v>Q/R/H/26/1212</v>
      </c>
      <c r="G1039" s="3" t="str">
        <v>NORTH AND SOUTH</v>
      </c>
      <c r="J1039" s="3" t="str">
        <v>Direct</v>
      </c>
    </row>
    <row r="1040">
      <c r="A1040" s="3">
        <v>45841</v>
      </c>
      <c r="B1040" s="3" t="str">
        <v>R:Renewal</v>
      </c>
      <c r="C1040" s="3" t="str">
        <v>P:P&amp;I</v>
      </c>
      <c r="D1040" s="3">
        <f>D1039+1</f>
        <v>1213</v>
      </c>
      <c r="E1040" s="3" t="str">
        <f>CONCAT("Q","/",LEFT(Table2[[#This Row],[Quotation Type]],1),"/", LEFT(Table2[[#This Row],[Branch]],1),"/", RIGHT(YEAR(TODAY()),2), "/",Table2[[#This Row],[Seq. Number]])</f>
        <v>Q/R/P/26/1213</v>
      </c>
      <c r="G1040" s="3" t="str">
        <v>HUI FENG 7</v>
      </c>
      <c r="I1040" s="3" t="str">
        <v>GC</v>
      </c>
      <c r="J1040" s="3" t="str">
        <v>Direct</v>
      </c>
    </row>
    <row r="1041">
      <c r="A1041" s="3">
        <v>45841</v>
      </c>
      <c r="B1041" s="3" t="str">
        <v>R:Renewal</v>
      </c>
      <c r="C1041" s="3" t="str">
        <v>H:Hull</v>
      </c>
      <c r="D1041" s="3">
        <f>D1040+1</f>
        <v>1214</v>
      </c>
      <c r="E1041" s="3" t="str">
        <f>CONCAT("Q","/",LEFT(Table2[[#This Row],[Quotation Type]],1),"/", LEFT(Table2[[#This Row],[Branch]],1),"/", RIGHT(YEAR(TODAY()),2), "/",Table2[[#This Row],[Seq. Number]])</f>
        <v>Q/R/H/26/1214</v>
      </c>
      <c r="G1041" s="3" t="str">
        <v>Goodness1</v>
      </c>
      <c r="I1041" s="3" t="str">
        <v>MLV</v>
      </c>
      <c r="J1041" s="3" t="str">
        <v>Captain Jamil</v>
      </c>
    </row>
    <row r="1042">
      <c r="A1042" s="3">
        <v>45841</v>
      </c>
      <c r="B1042" s="3" t="str">
        <v>R:Renewal</v>
      </c>
      <c r="C1042" s="3" t="str">
        <v>P:P&amp;I</v>
      </c>
      <c r="D1042" s="3">
        <f>D1041+1</f>
        <v>1215</v>
      </c>
      <c r="E1042" s="3" t="str">
        <f>CONCAT("Q","/",LEFT(Table2[[#This Row],[Quotation Type]],1),"/", LEFT(Table2[[#This Row],[Branch]],1),"/", RIGHT(YEAR(TODAY()),2), "/",Table2[[#This Row],[Seq. Number]])</f>
        <v>Q/R/P/26/1215</v>
      </c>
      <c r="G1042" s="3" t="str">
        <v>Goodness1</v>
      </c>
      <c r="I1042" s="3" t="str">
        <v>MLV</v>
      </c>
      <c r="J1042" s="3" t="str">
        <v>Captain Jamil</v>
      </c>
    </row>
    <row r="1043">
      <c r="A1043" s="3">
        <v>45841</v>
      </c>
      <c r="B1043" s="3" t="str">
        <v>A:Addition</v>
      </c>
      <c r="C1043" s="3" t="str">
        <v>P:P&amp;I</v>
      </c>
      <c r="D1043" s="3">
        <f>D1042+1</f>
        <v>1216</v>
      </c>
      <c r="E1043" s="3" t="str">
        <f>CONCAT("Q","/",LEFT(Table2[[#This Row],[Quotation Type]],1),"/", LEFT(Table2[[#This Row],[Branch]],1),"/", RIGHT(YEAR(TODAY()),2), "/",Table2[[#This Row],[Seq. Number]])</f>
        <v>Q/A/P/26/1216</v>
      </c>
      <c r="G1043" s="3" t="str">
        <v>Pacific Rose</v>
      </c>
      <c r="I1043" s="3" t="str">
        <v>MLV</v>
      </c>
      <c r="J1043" s="3" t="str">
        <v>Sarnia</v>
      </c>
    </row>
    <row r="1044">
      <c r="A1044" s="3">
        <v>45841</v>
      </c>
      <c r="B1044" s="3" t="str">
        <v>N:New Quotation</v>
      </c>
      <c r="C1044" s="3" t="str">
        <v>P:P&amp;I</v>
      </c>
      <c r="D1044" s="3">
        <f>D1043+1</f>
        <v>1217</v>
      </c>
      <c r="E1044" s="3" t="str">
        <f>CONCAT("Q","/",LEFT(Table2[[#This Row],[Quotation Type]],1),"/", LEFT(Table2[[#This Row],[Branch]],1),"/", RIGHT(YEAR(TODAY()),2), "/",Table2[[#This Row],[Seq. Number]])</f>
        <v>Q/N/P/26/1217</v>
      </c>
      <c r="G1044" s="3" t="str">
        <v>Aljadara-Almaher</v>
      </c>
      <c r="I1044" s="3" t="str">
        <v>Ro-Ro</v>
      </c>
      <c r="J1044" s="3" t="str">
        <v>Mesco</v>
      </c>
    </row>
    <row r="1045">
      <c r="A1045" s="3">
        <v>45841</v>
      </c>
      <c r="B1045" s="3" t="str">
        <v>N:New Quotation</v>
      </c>
      <c r="C1045" s="3" t="str">
        <v>P:P&amp;I</v>
      </c>
      <c r="D1045" s="3">
        <f>D1044+1</f>
        <v>1218</v>
      </c>
      <c r="E1045" s="3" t="str">
        <f>CONCAT("Q","/",LEFT(Table2[[#This Row],[Quotation Type]],1),"/", LEFT(Table2[[#This Row],[Branch]],1),"/", RIGHT(YEAR(TODAY()),2), "/",Table2[[#This Row],[Seq. Number]])</f>
        <v>Q/N/P/26/1218</v>
      </c>
      <c r="G1045" s="3" t="str">
        <v>Bahar</v>
      </c>
      <c r="I1045" s="3" t="str">
        <v>GC</v>
      </c>
      <c r="J1045" s="3" t="str">
        <v>Profinsure</v>
      </c>
    </row>
    <row r="1046">
      <c r="A1046" s="3">
        <v>45841</v>
      </c>
      <c r="B1046" s="3" t="str">
        <v>N:New Quotation</v>
      </c>
      <c r="C1046" s="3" t="str">
        <v>H:Hull</v>
      </c>
      <c r="D1046" s="3">
        <f>D1045+1</f>
        <v>1219</v>
      </c>
      <c r="E1046" s="3" t="str">
        <f>CONCAT("Q","/",LEFT(Table2[[#This Row],[Quotation Type]],1),"/", LEFT(Table2[[#This Row],[Branch]],1),"/", RIGHT(YEAR(TODAY()),2), "/",Table2[[#This Row],[Seq. Number]])</f>
        <v>Q/N/H/26/1219</v>
      </c>
      <c r="G1046" s="3" t="str">
        <v>Bahar</v>
      </c>
      <c r="I1046" s="3" t="str">
        <v>GC</v>
      </c>
      <c r="J1046" s="3" t="str">
        <v>Profinsure</v>
      </c>
    </row>
    <row r="1047">
      <c r="A1047" s="3">
        <v>45843</v>
      </c>
      <c r="B1047" s="3" t="str">
        <v>R:Renewal</v>
      </c>
      <c r="C1047" s="3" t="str">
        <v>Y:Yacht</v>
      </c>
      <c r="D1047" s="3">
        <f>D1046+1</f>
        <v>1220</v>
      </c>
      <c r="E1047" s="3" t="str">
        <f>CONCAT("Q","/",LEFT(Table2[[#This Row],[Quotation Type]],1),"/", LEFT(Table2[[#This Row],[Branch]],1),"/", RIGHT(YEAR(TODAY()),2), "/",Table2[[#This Row],[Seq. Number]])</f>
        <v>Q/R/Y/26/1220</v>
      </c>
      <c r="G1047" s="3" t="str">
        <v>Moonraker</v>
      </c>
      <c r="I1047" s="3" t="str">
        <v>Yacht</v>
      </c>
      <c r="J1047" s="3" t="str">
        <v>Newberry</v>
      </c>
    </row>
    <row r="1048">
      <c r="A1048" s="3">
        <v>45845</v>
      </c>
      <c r="B1048" s="3" t="str">
        <v>N:New Quotation</v>
      </c>
      <c r="C1048" s="3" t="str">
        <v>Y:Yacht</v>
      </c>
      <c r="D1048" s="3">
        <f>D1047+1</f>
        <v>1221</v>
      </c>
      <c r="E1048" s="3" t="str">
        <f>CONCAT("Q","/",LEFT(Table2[[#This Row],[Quotation Type]],1),"/", LEFT(Table2[[#This Row],[Branch]],1),"/", RIGHT(YEAR(TODAY()),2), "/",Table2[[#This Row],[Seq. Number]])</f>
        <v>Q/N/Y/26/1221</v>
      </c>
      <c r="G1048" s="3" t="str">
        <v>Papillone Maritime</v>
      </c>
      <c r="I1048" s="3" t="str">
        <v>Yacht</v>
      </c>
      <c r="J1048" s="3" t="str">
        <v>BlueAigaion</v>
      </c>
    </row>
    <row r="1049">
      <c r="A1049" s="3">
        <v>45845</v>
      </c>
      <c r="B1049" s="3" t="str">
        <v>N:New Quotation</v>
      </c>
      <c r="C1049" s="3" t="str">
        <v>P:P&amp;I</v>
      </c>
      <c r="D1049" s="3">
        <f>D1048+1</f>
        <v>1222</v>
      </c>
      <c r="E1049" s="3" t="str">
        <f>CONCAT("Q","/",LEFT(Table2[[#This Row],[Quotation Type]],1),"/", LEFT(Table2[[#This Row],[Branch]],1),"/", RIGHT(YEAR(TODAY()),2), "/",Table2[[#This Row],[Seq. Number]])</f>
        <v>Q/N/P/26/1222</v>
      </c>
      <c r="G1049" s="3" t="str">
        <v>ESRA NUR</v>
      </c>
      <c r="I1049" s="3" t="str">
        <v>GC</v>
      </c>
      <c r="J1049" s="3" t="str">
        <v>Eurasia</v>
      </c>
    </row>
    <row r="1050">
      <c r="A1050" s="3">
        <v>45852</v>
      </c>
      <c r="B1050" s="3" t="str">
        <v>A:Addition</v>
      </c>
      <c r="C1050" s="3" t="str">
        <v>H:Hull</v>
      </c>
      <c r="D1050" s="3">
        <f>D1049+1</f>
        <v>1223</v>
      </c>
      <c r="E1050" s="3" t="str">
        <f>CONCAT("Q","/",LEFT(Table2[[#This Row],[Quotation Type]],1),"/", LEFT(Table2[[#This Row],[Branch]],1),"/", RIGHT(YEAR(TODAY()),2), "/",Table2[[#This Row],[Seq. Number]])</f>
        <v>Q/A/H/26/1223</v>
      </c>
      <c r="G1050" s="3" t="str">
        <v>Ghada A</v>
      </c>
      <c r="I1050" s="3" t="str">
        <v>GC</v>
      </c>
      <c r="J1050" s="3" t="str">
        <v>Direct</v>
      </c>
    </row>
    <row r="1051">
      <c r="A1051" s="3">
        <v>45854</v>
      </c>
      <c r="B1051" s="3" t="str">
        <v>R:Renewal</v>
      </c>
      <c r="C1051" s="3" t="str">
        <v>P:P&amp;I</v>
      </c>
      <c r="D1051" s="3">
        <f>D1050+1</f>
        <v>1224</v>
      </c>
      <c r="E1051" s="3" t="str">
        <f>CONCAT("Q","/",LEFT(Table2[[#This Row],[Quotation Type]],1),"/", LEFT(Table2[[#This Row],[Branch]],1),"/", RIGHT(YEAR(TODAY()),2), "/",Table2[[#This Row],[Seq. Number]])</f>
        <v>Q/R/P/26/1224</v>
      </c>
      <c r="G1051" s="3" t="str">
        <v>Tristar</v>
      </c>
      <c r="I1051" s="3" t="str">
        <v>GC</v>
      </c>
      <c r="J1051" s="3" t="str">
        <v>Brandenburg</v>
      </c>
    </row>
    <row r="1052">
      <c r="A1052" s="3">
        <v>45854</v>
      </c>
      <c r="B1052" s="3" t="str">
        <v>R:Renewal</v>
      </c>
      <c r="C1052" s="3" t="str">
        <v>Y:Yacht</v>
      </c>
      <c r="D1052" s="3">
        <f>D1051+1</f>
        <v>1225</v>
      </c>
      <c r="E1052" s="3" t="str">
        <f>CONCAT("Q","/",LEFT(Table2[[#This Row],[Quotation Type]],1),"/", LEFT(Table2[[#This Row],[Branch]],1),"/", RIGHT(YEAR(TODAY()),2), "/",Table2[[#This Row],[Seq. Number]])</f>
        <v>Q/R/Y/26/1225</v>
      </c>
      <c r="G1052" s="3" t="str">
        <v>Sea Breeze</v>
      </c>
      <c r="I1052" s="3" t="str">
        <v>Yacht</v>
      </c>
      <c r="J1052" s="3" t="str">
        <v>El Beco</v>
      </c>
    </row>
    <row r="1053">
      <c r="A1053" s="3">
        <v>45854</v>
      </c>
      <c r="B1053" s="3" t="str">
        <v>R:Renewal</v>
      </c>
      <c r="C1053" s="3" t="str">
        <v>H:Hull</v>
      </c>
      <c r="D1053" s="3">
        <f>D1052+1</f>
        <v>1226</v>
      </c>
      <c r="E1053" s="3" t="str">
        <f>CONCAT("Q","/",LEFT(Table2[[#This Row],[Quotation Type]],1),"/", LEFT(Table2[[#This Row],[Branch]],1),"/", RIGHT(YEAR(TODAY()),2), "/",Table2[[#This Row],[Seq. Number]])</f>
        <v>Q/R/H/26/1226</v>
      </c>
      <c r="G1053" s="3" t="str">
        <v>ESRA NUR</v>
      </c>
      <c r="I1053" s="3" t="str">
        <v>GC</v>
      </c>
      <c r="J1053" s="3" t="str">
        <v>Eurasia</v>
      </c>
    </row>
    <row r="1054">
      <c r="A1054" s="3">
        <v>45855</v>
      </c>
      <c r="B1054" s="3" t="str">
        <v>R:Renewal</v>
      </c>
      <c r="C1054" s="3" t="str">
        <v>H:Hull</v>
      </c>
      <c r="D1054" s="3">
        <f>D1053+1</f>
        <v>1227</v>
      </c>
      <c r="E1054" s="3" t="str">
        <f>CONCAT("Q","/",LEFT(Table2[[#This Row],[Quotation Type]],1),"/", LEFT(Table2[[#This Row],[Branch]],1),"/", RIGHT(YEAR(TODAY()),2), "/",Table2[[#This Row],[Seq. Number]])</f>
        <v>Q/R/H/26/1227</v>
      </c>
      <c r="G1054" s="3" t="str">
        <v>Abraham A</v>
      </c>
      <c r="I1054" s="3" t="str">
        <v>GC</v>
      </c>
      <c r="J1054" s="3" t="str">
        <v>Ammoun Shipping</v>
      </c>
    </row>
    <row r="1055">
      <c r="A1055" s="3">
        <v>45855</v>
      </c>
      <c r="B1055" s="3" t="str">
        <v>R:Renewal</v>
      </c>
      <c r="C1055" s="3" t="str">
        <v>P:P&amp;I</v>
      </c>
      <c r="D1055" s="3">
        <f>D1054+1</f>
        <v>1228</v>
      </c>
      <c r="E1055" s="3" t="str">
        <f>CONCAT("Q","/",LEFT(Table2[[#This Row],[Quotation Type]],1),"/", LEFT(Table2[[#This Row],[Branch]],1),"/", RIGHT(YEAR(TODAY()),2), "/",Table2[[#This Row],[Seq. Number]])</f>
        <v>Q/R/P/26/1228</v>
      </c>
      <c r="G1055" s="3" t="str">
        <v>Abraham A</v>
      </c>
      <c r="I1055" s="3" t="str">
        <v>GC</v>
      </c>
      <c r="J1055" s="3" t="str">
        <v>Ammoun Shipping</v>
      </c>
    </row>
    <row r="1056">
      <c r="A1056" s="3">
        <v>45855</v>
      </c>
      <c r="B1056" s="3" t="str">
        <v>R:Renewal</v>
      </c>
      <c r="C1056" s="3" t="str">
        <v>H:Hull</v>
      </c>
      <c r="D1056" s="3">
        <f>D1055+1</f>
        <v>1229</v>
      </c>
      <c r="E1056" s="3" t="str">
        <f>CONCAT("Q","/",LEFT(Table2[[#This Row],[Quotation Type]],1),"/", LEFT(Table2[[#This Row],[Branch]],1),"/", RIGHT(YEAR(TODAY()),2), "/",Table2[[#This Row],[Seq. Number]])</f>
        <v>Q/R/H/26/1229</v>
      </c>
      <c r="G1056" s="3" t="str">
        <v xml:space="preserve">Adel </v>
      </c>
      <c r="I1056" s="3" t="str">
        <v>Reefer</v>
      </c>
      <c r="J1056" s="3" t="str">
        <v>Gulf Coast Shipping</v>
      </c>
    </row>
    <row r="1057">
      <c r="A1057" s="3">
        <v>45855</v>
      </c>
      <c r="B1057" s="3" t="str">
        <v>R:Renewal</v>
      </c>
      <c r="C1057" s="3" t="str">
        <v>P:P&amp;I</v>
      </c>
      <c r="D1057" s="3">
        <f>D1056+1</f>
        <v>1230</v>
      </c>
      <c r="E1057" s="3" t="str">
        <f>CONCAT("Q","/",LEFT(Table2[[#This Row],[Quotation Type]],1),"/", LEFT(Table2[[#This Row],[Branch]],1),"/", RIGHT(YEAR(TODAY()),2), "/",Table2[[#This Row],[Seq. Number]])</f>
        <v>Q/R/P/26/1230</v>
      </c>
      <c r="G1057" s="3" t="str">
        <v>Al Mooafag</v>
      </c>
      <c r="I1057" s="3" t="str">
        <v>Boat</v>
      </c>
    </row>
    <row r="1058">
      <c r="A1058" s="3">
        <v>45855</v>
      </c>
      <c r="B1058" s="3" t="str">
        <v>R:Renewal</v>
      </c>
      <c r="C1058" s="3" t="str">
        <v>H:Hull</v>
      </c>
      <c r="D1058" s="3">
        <f>D1057+1</f>
        <v>1231</v>
      </c>
      <c r="E1058" s="3" t="str">
        <f>CONCAT("Q","/",LEFT(Table2[[#This Row],[Quotation Type]],1),"/", LEFT(Table2[[#This Row],[Branch]],1),"/", RIGHT(YEAR(TODAY()),2), "/",Table2[[#This Row],[Seq. Number]])</f>
        <v>Q/R/H/26/1231</v>
      </c>
      <c r="G1058" s="3" t="str">
        <v>Al Khudair Star</v>
      </c>
      <c r="I1058" s="3" t="str">
        <v>MLV</v>
      </c>
      <c r="J1058" s="3" t="str">
        <v>Observator</v>
      </c>
    </row>
    <row r="1059">
      <c r="A1059" s="3">
        <v>45855</v>
      </c>
      <c r="B1059" s="3" t="str">
        <v>R:Renewal</v>
      </c>
      <c r="C1059" s="3" t="str">
        <v>P:P&amp;I</v>
      </c>
      <c r="D1059" s="3">
        <f>D1058+1</f>
        <v>1232</v>
      </c>
      <c r="E1059" s="3" t="str">
        <f>CONCAT("Q","/",LEFT(Table2[[#This Row],[Quotation Type]],1),"/", LEFT(Table2[[#This Row],[Branch]],1),"/", RIGHT(YEAR(TODAY()),2), "/",Table2[[#This Row],[Seq. Number]])</f>
        <v>Q/R/P/26/1232</v>
      </c>
      <c r="G1059" s="3" t="str">
        <v>Al Khudair Star</v>
      </c>
      <c r="I1059" s="3" t="str">
        <v>MLV</v>
      </c>
      <c r="J1059" s="3" t="str">
        <v>Observator</v>
      </c>
    </row>
    <row r="1060">
      <c r="A1060" s="3">
        <v>45855</v>
      </c>
      <c r="B1060" s="3" t="str">
        <v>R:Renewal</v>
      </c>
      <c r="C1060" s="3" t="str">
        <v>H:Hull</v>
      </c>
      <c r="D1060" s="3">
        <f>D1059+1</f>
        <v>1233</v>
      </c>
      <c r="E1060" s="3" t="str">
        <f>CONCAT("Q","/",LEFT(Table2[[#This Row],[Quotation Type]],1),"/", LEFT(Table2[[#This Row],[Branch]],1),"/", RIGHT(YEAR(TODAY()),2), "/",Table2[[#This Row],[Seq. Number]])</f>
        <v>Q/R/H/26/1233</v>
      </c>
      <c r="G1060" s="3" t="str">
        <v>Golden Rose</v>
      </c>
      <c r="I1060" s="3" t="str">
        <v>GC</v>
      </c>
      <c r="J1060" s="3" t="str">
        <v>El Kashawi</v>
      </c>
    </row>
    <row r="1061">
      <c r="A1061" s="3">
        <v>45855</v>
      </c>
      <c r="B1061" s="3" t="str">
        <v>R:Renewal</v>
      </c>
      <c r="C1061" s="3" t="str">
        <v>W:War</v>
      </c>
      <c r="D1061" s="3">
        <f>D1060+1</f>
        <v>1234</v>
      </c>
      <c r="E1061" s="3" t="str">
        <f>CONCAT("Q","/",LEFT(Table2[[#This Row],[Quotation Type]],1),"/", LEFT(Table2[[#This Row],[Branch]],1),"/", RIGHT(YEAR(TODAY()),2), "/",Table2[[#This Row],[Seq. Number]])</f>
        <v>Q/R/W/26/1234</v>
      </c>
      <c r="G1061" s="3" t="str">
        <v>Golden Rose</v>
      </c>
      <c r="I1061" s="3" t="str">
        <v>GC</v>
      </c>
      <c r="J1061" s="3" t="str">
        <v>El Kashawi</v>
      </c>
    </row>
    <row r="1062">
      <c r="A1062" s="3">
        <v>45855</v>
      </c>
      <c r="B1062" s="3" t="str">
        <v>R:Renewal</v>
      </c>
      <c r="C1062" s="3" t="str">
        <v>H:Hull</v>
      </c>
      <c r="D1062" s="3">
        <f>D1061+1</f>
        <v>1235</v>
      </c>
      <c r="E1062" s="3" t="str">
        <f>CONCAT("Q","/",LEFT(Table2[[#This Row],[Quotation Type]],1),"/", LEFT(Table2[[#This Row],[Branch]],1),"/", RIGHT(YEAR(TODAY()),2), "/",Table2[[#This Row],[Seq. Number]])</f>
        <v>Q/R/H/26/1235</v>
      </c>
      <c r="G1062" s="3" t="str">
        <v>Golden Shark</v>
      </c>
      <c r="I1062" s="3" t="str">
        <v>GC</v>
      </c>
      <c r="J1062" s="3" t="str">
        <v>El Kashawi</v>
      </c>
    </row>
    <row r="1063">
      <c r="A1063" s="3">
        <v>45855</v>
      </c>
      <c r="B1063" s="3" t="str">
        <v>R:Renewal</v>
      </c>
      <c r="C1063" s="3" t="str">
        <v>P:P&amp;I</v>
      </c>
      <c r="D1063" s="3">
        <f>D1062+1</f>
        <v>1236</v>
      </c>
      <c r="E1063" s="3" t="str">
        <f>CONCAT("Q","/",LEFT(Table2[[#This Row],[Quotation Type]],1),"/", LEFT(Table2[[#This Row],[Branch]],1),"/", RIGHT(YEAR(TODAY()),2), "/",Table2[[#This Row],[Seq. Number]])</f>
        <v>Q/R/P/26/1236</v>
      </c>
      <c r="G1063" s="3" t="str">
        <v xml:space="preserve">Haje Halimeh </v>
      </c>
      <c r="I1063" s="3" t="str">
        <v>GC</v>
      </c>
      <c r="J1063" s="3" t="str">
        <v>Sata Chartering</v>
      </c>
    </row>
    <row r="1064">
      <c r="A1064" s="3">
        <v>45855</v>
      </c>
      <c r="B1064" s="3" t="str">
        <v>R:Renewal</v>
      </c>
      <c r="C1064" s="3" t="str">
        <v>P:P&amp;I</v>
      </c>
      <c r="D1064" s="3">
        <f>D1063+1</f>
        <v>1237</v>
      </c>
      <c r="E1064" s="3" t="str">
        <f>CONCAT("Q","/",LEFT(Table2[[#This Row],[Quotation Type]],1),"/", LEFT(Table2[[#This Row],[Branch]],1),"/", RIGHT(YEAR(TODAY()),2), "/",Table2[[#This Row],[Seq. Number]])</f>
        <v>Q/R/P/26/1237</v>
      </c>
      <c r="G1064" s="3" t="str">
        <v xml:space="preserve">Hasan </v>
      </c>
      <c r="I1064" s="3" t="str">
        <v>GC</v>
      </c>
      <c r="J1064" s="3" t="str">
        <v>Bernard Shipping</v>
      </c>
    </row>
    <row r="1065">
      <c r="A1065" s="3">
        <v>45855</v>
      </c>
      <c r="B1065" s="3" t="str">
        <v>R:Renewal</v>
      </c>
      <c r="C1065" s="3" t="str">
        <v>H:Hull</v>
      </c>
      <c r="D1065" s="3">
        <f>D1064+1</f>
        <v>1238</v>
      </c>
      <c r="E1065" s="3" t="str">
        <f>CONCAT("Q","/",LEFT(Table2[[#This Row],[Quotation Type]],1),"/", LEFT(Table2[[#This Row],[Branch]],1),"/", RIGHT(YEAR(TODAY()),2), "/",Table2[[#This Row],[Seq. Number]])</f>
        <v>Q/R/H/26/1238</v>
      </c>
      <c r="G1065" s="3" t="str">
        <v>Kavita</v>
      </c>
      <c r="I1065" s="3" t="str">
        <v>BC</v>
      </c>
      <c r="J1065" s="3" t="str">
        <v>CIB</v>
      </c>
    </row>
    <row r="1066">
      <c r="A1066" s="3">
        <v>45855</v>
      </c>
      <c r="B1066" s="3" t="str">
        <v>R:Renewal</v>
      </c>
      <c r="C1066" s="3" t="str">
        <v>W:War</v>
      </c>
      <c r="D1066" s="3">
        <f>D1065+1</f>
        <v>1239</v>
      </c>
      <c r="E1066" s="3" t="str">
        <f>CONCAT("Q","/",LEFT(Table2[[#This Row],[Quotation Type]],1),"/", LEFT(Table2[[#This Row],[Branch]],1),"/", RIGHT(YEAR(TODAY()),2), "/",Table2[[#This Row],[Seq. Number]])</f>
        <v>Q/R/W/26/1239</v>
      </c>
      <c r="G1066" s="3" t="str">
        <v>Kavita</v>
      </c>
      <c r="I1066" s="3" t="str">
        <v>BC</v>
      </c>
      <c r="J1066" s="3" t="str">
        <v>CIB</v>
      </c>
    </row>
    <row r="1067">
      <c r="A1067" s="3">
        <v>45855</v>
      </c>
      <c r="B1067" s="3" t="str">
        <v>R:Renewal</v>
      </c>
      <c r="C1067" s="3" t="str">
        <v>H:Hull</v>
      </c>
      <c r="D1067" s="3">
        <f>D1066+1</f>
        <v>1240</v>
      </c>
      <c r="E1067" s="3" t="str">
        <f>CONCAT("Q","/",LEFT(Table2[[#This Row],[Quotation Type]],1),"/", LEFT(Table2[[#This Row],[Branch]],1),"/", RIGHT(YEAR(TODAY()),2), "/",Table2[[#This Row],[Seq. Number]])</f>
        <v>Q/R/H/26/1240</v>
      </c>
      <c r="G1067" s="3" t="str">
        <v>Keryneia</v>
      </c>
      <c r="I1067" s="3" t="str">
        <v>Tug</v>
      </c>
      <c r="J1067" s="3" t="str">
        <v>Velos</v>
      </c>
    </row>
    <row r="1068">
      <c r="A1068" s="3">
        <v>45855</v>
      </c>
      <c r="B1068" s="3" t="str">
        <v>R:Renewal</v>
      </c>
      <c r="C1068" s="3" t="str">
        <v>P:P&amp;I</v>
      </c>
      <c r="D1068" s="3">
        <f>D1067+1</f>
        <v>1241</v>
      </c>
      <c r="E1068" s="3" t="str">
        <f>CONCAT("Q","/",LEFT(Table2[[#This Row],[Quotation Type]],1),"/", LEFT(Table2[[#This Row],[Branch]],1),"/", RIGHT(YEAR(TODAY()),2), "/",Table2[[#This Row],[Seq. Number]])</f>
        <v>Q/R/P/26/1241</v>
      </c>
      <c r="G1068" s="3" t="str">
        <v>Peroia</v>
      </c>
      <c r="I1068" s="3" t="str">
        <v>GC</v>
      </c>
      <c r="J1068" s="3" t="str">
        <v>First Ship</v>
      </c>
    </row>
    <row r="1069">
      <c r="A1069" s="3">
        <v>45855</v>
      </c>
      <c r="B1069" s="3" t="str">
        <v>R:Renewal</v>
      </c>
      <c r="C1069" s="3" t="str">
        <v>P:P&amp;I</v>
      </c>
      <c r="D1069" s="3">
        <f>D1068+1</f>
        <v>1242</v>
      </c>
      <c r="E1069" s="3" t="str">
        <f>CONCAT("Q","/",LEFT(Table2[[#This Row],[Quotation Type]],1),"/", LEFT(Table2[[#This Row],[Branch]],1),"/", RIGHT(YEAR(TODAY()),2), "/",Table2[[#This Row],[Seq. Number]])</f>
        <v>Q/R/P/26/1242</v>
      </c>
      <c r="G1069" s="3" t="str">
        <v>Polkovnik</v>
      </c>
      <c r="I1069" s="3" t="str">
        <v>GC</v>
      </c>
      <c r="J1069" s="3" t="str">
        <v>Profinsure</v>
      </c>
    </row>
    <row r="1070">
      <c r="A1070" s="3">
        <v>45855</v>
      </c>
      <c r="B1070" s="3" t="str">
        <v>R:Renewal</v>
      </c>
      <c r="C1070" s="3" t="str">
        <v>H:Hull</v>
      </c>
      <c r="D1070" s="3">
        <f>D1069+1</f>
        <v>1243</v>
      </c>
      <c r="E1070" s="3" t="str">
        <f>CONCAT("Q","/",LEFT(Table2[[#This Row],[Quotation Type]],1),"/", LEFT(Table2[[#This Row],[Branch]],1),"/", RIGHT(YEAR(TODAY()),2), "/",Table2[[#This Row],[Seq. Number]])</f>
        <v>Q/R/H/26/1243</v>
      </c>
      <c r="G1070" s="3" t="str">
        <v>Queensland</v>
      </c>
      <c r="I1070" s="3" t="str">
        <v>MLV</v>
      </c>
      <c r="J1070" s="3" t="str">
        <v>El Beco</v>
      </c>
    </row>
    <row r="1071">
      <c r="A1071" s="3">
        <v>45855</v>
      </c>
      <c r="B1071" s="3" t="str">
        <v>R:Renewal</v>
      </c>
      <c r="C1071" s="3" t="str">
        <v>H:Hull</v>
      </c>
      <c r="D1071" s="3">
        <f>D1070+1</f>
        <v>1244</v>
      </c>
      <c r="E1071" s="3" t="str">
        <f>CONCAT("Q","/",LEFT(Table2[[#This Row],[Quotation Type]],1),"/", LEFT(Table2[[#This Row],[Branch]],1),"/", RIGHT(YEAR(TODAY()),2), "/",Table2[[#This Row],[Seq. Number]])</f>
        <v>Q/R/H/26/1244</v>
      </c>
      <c r="G1071" s="3" t="str">
        <v>Tihamah</v>
      </c>
      <c r="I1071" s="3" t="str">
        <v>GC</v>
      </c>
      <c r="J1071" s="3" t="str">
        <v>Mesco</v>
      </c>
    </row>
    <row r="1072">
      <c r="A1072" s="3">
        <v>45855</v>
      </c>
      <c r="B1072" s="3" t="str">
        <v>N:New Quotation</v>
      </c>
      <c r="C1072" s="3" t="str">
        <v>H:Hull</v>
      </c>
      <c r="D1072" s="3">
        <f>D1071+1</f>
        <v>1245</v>
      </c>
      <c r="E1072" s="3" t="str">
        <f>CONCAT("Q","/",LEFT(Table2[[#This Row],[Quotation Type]],1),"/", LEFT(Table2[[#This Row],[Branch]],1),"/", RIGHT(YEAR(TODAY()),2), "/",Table2[[#This Row],[Seq. Number]])</f>
        <v>Q/N/H/26/1245</v>
      </c>
      <c r="G1072" s="3" t="str">
        <v>Sinbad</v>
      </c>
      <c r="J1072" s="3" t="str">
        <v>IPIC</v>
      </c>
    </row>
    <row r="1073">
      <c r="A1073" s="3">
        <v>45855</v>
      </c>
      <c r="B1073" s="3" t="str">
        <v>N:New Quotation</v>
      </c>
      <c r="C1073" s="3" t="str">
        <v>W:War</v>
      </c>
      <c r="D1073" s="3">
        <f>D1072+1</f>
        <v>1246</v>
      </c>
      <c r="E1073" s="3" t="str">
        <f>CONCAT("Q","/",LEFT(Table2[[#This Row],[Quotation Type]],1),"/", LEFT(Table2[[#This Row],[Branch]],1),"/", RIGHT(YEAR(TODAY()),2), "/",Table2[[#This Row],[Seq. Number]])</f>
        <v>Q/N/W/26/1246</v>
      </c>
      <c r="G1073" s="3" t="str">
        <v>Sinbad</v>
      </c>
      <c r="J1073" s="3" t="str">
        <v>IPIC</v>
      </c>
    </row>
    <row r="1074">
      <c r="A1074" s="3">
        <v>45859</v>
      </c>
      <c r="B1074" s="3" t="str">
        <v>R:Renewal</v>
      </c>
      <c r="C1074" s="3" t="str">
        <v>H:Hull</v>
      </c>
      <c r="D1074" s="3">
        <f>D1073+1</f>
        <v>1247</v>
      </c>
      <c r="E1074" s="3" t="str">
        <f>CONCAT("Q","/",LEFT(Table2[[#This Row],[Quotation Type]],1),"/", LEFT(Table2[[#This Row],[Branch]],1),"/", RIGHT(YEAR(TODAY()),2), "/",Table2[[#This Row],[Seq. Number]])</f>
        <v>Q/R/H/26/1247</v>
      </c>
      <c r="G1074" s="3" t="str">
        <v>Keryneia</v>
      </c>
      <c r="I1074" s="3" t="str">
        <v>Tug</v>
      </c>
      <c r="J1074" s="3" t="str">
        <v>Velos</v>
      </c>
    </row>
    <row r="1075">
      <c r="A1075" s="3">
        <v>45859</v>
      </c>
      <c r="B1075" s="3" t="str">
        <v>R:Renewal</v>
      </c>
      <c r="C1075" s="3" t="str">
        <v>P:P&amp;I</v>
      </c>
      <c r="D1075" s="3">
        <f>D1074+1</f>
        <v>1248</v>
      </c>
      <c r="E1075" s="3" t="str">
        <f>CONCAT("Q","/",LEFT(Table2[[#This Row],[Quotation Type]],1),"/", LEFT(Table2[[#This Row],[Branch]],1),"/", RIGHT(YEAR(TODAY()),2), "/",Table2[[#This Row],[Seq. Number]])</f>
        <v>Q/R/P/26/1248</v>
      </c>
      <c r="G1075" s="3" t="str">
        <v>TIHAMAH</v>
      </c>
      <c r="I1075" s="3" t="str">
        <v>GC</v>
      </c>
      <c r="J1075" s="3" t="str">
        <v>Mesco</v>
      </c>
    </row>
    <row r="1076">
      <c r="A1076" s="3">
        <v>45859</v>
      </c>
      <c r="B1076" s="3" t="str">
        <v>R:Renewal</v>
      </c>
      <c r="C1076" s="3" t="str">
        <v>Y:Yacht</v>
      </c>
      <c r="D1076" s="3">
        <f>D1075+1</f>
        <v>1249</v>
      </c>
      <c r="E1076" s="3" t="str">
        <f>CONCAT("Q","/",LEFT(Table2[[#This Row],[Quotation Type]],1),"/", LEFT(Table2[[#This Row],[Branch]],1),"/", RIGHT(YEAR(TODAY()),2), "/",Table2[[#This Row],[Seq. Number]])</f>
        <v>Q/R/Y/26/1249</v>
      </c>
      <c r="G1076" s="3" t="str">
        <v>Abdullah M</v>
      </c>
      <c r="I1076" s="3" t="str">
        <v>Pleasure Yacht</v>
      </c>
      <c r="J1076" s="3" t="str">
        <v>Mansour M</v>
      </c>
    </row>
    <row r="1077">
      <c r="A1077" s="3">
        <v>45860</v>
      </c>
      <c r="B1077" s="3" t="str">
        <v>N:New Quotation</v>
      </c>
      <c r="C1077" s="3" t="str">
        <v>P:P&amp;I</v>
      </c>
      <c r="D1077" s="3">
        <f>D1076+1</f>
        <v>1250</v>
      </c>
      <c r="E1077" s="3" t="str">
        <f>CONCAT("Q","/",LEFT(Table2[[#This Row],[Quotation Type]],1),"/", LEFT(Table2[[#This Row],[Branch]],1),"/", RIGHT(YEAR(TODAY()),2), "/",Table2[[#This Row],[Seq. Number]])</f>
        <v>Q/N/P/26/1250</v>
      </c>
      <c r="G1077" s="3" t="str">
        <v>NOUR ELHUDA</v>
      </c>
      <c r="I1077" s="3" t="str">
        <v>GC</v>
      </c>
      <c r="J1077" s="3" t="str">
        <v>Brandenburg</v>
      </c>
    </row>
    <row r="1078">
      <c r="A1078" s="3">
        <v>45860</v>
      </c>
      <c r="B1078" s="3" t="str">
        <v>N:New Quotation</v>
      </c>
      <c r="C1078" s="3" t="str">
        <v>P:P&amp;I</v>
      </c>
      <c r="D1078" s="3">
        <f>D1077+1</f>
        <v>1251</v>
      </c>
      <c r="E1078" s="3" t="str">
        <f>CONCAT("Q","/",LEFT(Table2[[#This Row],[Quotation Type]],1),"/", LEFT(Table2[[#This Row],[Branch]],1),"/", RIGHT(YEAR(TODAY()),2), "/",Table2[[#This Row],[Seq. Number]])</f>
        <v>Q/N/P/26/1251</v>
      </c>
      <c r="G1078" s="3" t="str">
        <v>Cattle Force</v>
      </c>
      <c r="I1078" s="3" t="str">
        <v>MLV</v>
      </c>
      <c r="J1078" s="3" t="str">
        <v>Direct</v>
      </c>
    </row>
    <row r="1079">
      <c r="A1079" s="3">
        <v>45861</v>
      </c>
      <c r="B1079" s="3" t="str">
        <v>N:New Quotation</v>
      </c>
      <c r="C1079" s="3" t="str">
        <v>P:P&amp;I</v>
      </c>
      <c r="D1079" s="3">
        <f>D1078+1</f>
        <v>1252</v>
      </c>
      <c r="E1079" s="3" t="str">
        <f>CONCAT("Q","/",LEFT(Table2[[#This Row],[Quotation Type]],1),"/", LEFT(Table2[[#This Row],[Branch]],1),"/", RIGHT(YEAR(TODAY()),2), "/",Table2[[#This Row],[Seq. Number]])</f>
        <v>Q/N/P/26/1252</v>
      </c>
      <c r="G1079" s="3" t="str">
        <v>HANM SHIPMANAGEMENT</v>
      </c>
      <c r="I1079" s="3" t="str">
        <v>GC</v>
      </c>
      <c r="J1079" s="3" t="str">
        <v>Lockton pl ferrari</v>
      </c>
    </row>
    <row r="1080">
      <c r="A1080" s="3">
        <v>45863</v>
      </c>
      <c r="B1080" s="3" t="str">
        <v>N:New Quotation</v>
      </c>
      <c r="C1080" s="3" t="str">
        <v>H:Hull</v>
      </c>
      <c r="D1080" s="3">
        <f>D1079+1</f>
        <v>1253</v>
      </c>
      <c r="E1080" s="3" t="str">
        <f>CONCAT("Q","/",LEFT(Table2[[#This Row],[Quotation Type]],1),"/", LEFT(Table2[[#This Row],[Branch]],1),"/", RIGHT(YEAR(TODAY()),2), "/",Table2[[#This Row],[Seq. Number]])</f>
        <v>Q/N/H/26/1253</v>
      </c>
      <c r="G1080" s="3" t="str">
        <v>JUMARD</v>
      </c>
      <c r="I1080" s="3" t="str">
        <v>BC</v>
      </c>
      <c r="J1080" s="3" t="str">
        <v>Safe Sea Services</v>
      </c>
    </row>
    <row r="1081">
      <c r="A1081" s="3">
        <v>45863</v>
      </c>
      <c r="B1081" s="3" t="str">
        <v>N:New Quotation</v>
      </c>
      <c r="C1081" s="3" t="str">
        <v>F:FD&amp;D</v>
      </c>
      <c r="D1081" s="3">
        <f>D1080+1</f>
        <v>1254</v>
      </c>
      <c r="E1081" s="3" t="str">
        <f>CONCAT("Q","/",LEFT(Table2[[#This Row],[Quotation Type]],1),"/", LEFT(Table2[[#This Row],[Branch]],1),"/", RIGHT(YEAR(TODAY()),2), "/",Table2[[#This Row],[Seq. Number]])</f>
        <v>Q/N/F/26/1254</v>
      </c>
      <c r="G1081" s="3" t="str">
        <v>Cattle Force</v>
      </c>
      <c r="I1081" s="3" t="str">
        <v>MLV</v>
      </c>
    </row>
    <row r="1082">
      <c r="A1082" s="3">
        <v>45869</v>
      </c>
      <c r="B1082" s="3" t="str">
        <v>N:New Quotation</v>
      </c>
      <c r="C1082" s="3" t="str">
        <v>P:P&amp;I</v>
      </c>
      <c r="D1082" s="3">
        <f>D1081+1</f>
        <v>1255</v>
      </c>
      <c r="E1082" s="3" t="str">
        <f>CONCAT("Q","/",LEFT(Table2[[#This Row],[Quotation Type]],1),"/", LEFT(Table2[[#This Row],[Branch]],1),"/", RIGHT(YEAR(TODAY()),2), "/",Table2[[#This Row],[Seq. Number]])</f>
        <v>Q/N/P/26/1255</v>
      </c>
      <c r="G1082" s="3" t="str">
        <v>Karam</v>
      </c>
      <c r="I1082" s="3" t="str">
        <v>GC</v>
      </c>
      <c r="J1082" s="3" t="str">
        <v>Profinsure</v>
      </c>
    </row>
    <row r="1083">
      <c r="A1083" s="3">
        <v>45877</v>
      </c>
      <c r="B1083" s="3" t="str">
        <v>N:New Quotation</v>
      </c>
      <c r="C1083" s="3" t="str">
        <v>P:P&amp;I</v>
      </c>
      <c r="D1083" s="3">
        <f>D1082+1</f>
        <v>1256</v>
      </c>
      <c r="E1083" s="3" t="str">
        <f>CONCAT("Q","/",LEFT(Table2[[#This Row],[Quotation Type]],1),"/", LEFT(Table2[[#This Row],[Branch]],1),"/", RIGHT(YEAR(TODAY()),2), "/",Table2[[#This Row],[Seq. Number]])</f>
        <v>Q/N/P/26/1256</v>
      </c>
      <c r="G1083" s="3" t="str">
        <v>Tiger Tug</v>
      </c>
      <c r="I1083" s="3" t="str">
        <v>Tug</v>
      </c>
      <c r="J1083" s="3" t="str">
        <v>Observator</v>
      </c>
    </row>
    <row r="1084">
      <c r="A1084" s="3">
        <v>45877</v>
      </c>
      <c r="B1084" s="3" t="str">
        <v>N:New Quotation</v>
      </c>
      <c r="C1084" s="3" t="str">
        <v>H:Hull</v>
      </c>
      <c r="D1084" s="3">
        <f>D1083+1</f>
        <v>1257</v>
      </c>
      <c r="E1084" s="3" t="str">
        <f>CONCAT("Q","/",LEFT(Table2[[#This Row],[Quotation Type]],1),"/", LEFT(Table2[[#This Row],[Branch]],1),"/", RIGHT(YEAR(TODAY()),2), "/",Table2[[#This Row],[Seq. Number]])</f>
        <v>Q/N/H/26/1257</v>
      </c>
      <c r="G1084" s="3" t="str">
        <v>Nautilus</v>
      </c>
      <c r="I1084" s="3" t="str">
        <v xml:space="preserve">Supply </v>
      </c>
      <c r="J1084" s="3" t="str">
        <v>Kuzey</v>
      </c>
    </row>
    <row r="1085">
      <c r="A1085" s="3">
        <v>45877</v>
      </c>
      <c r="B1085" s="3" t="str">
        <v>A:Addition</v>
      </c>
      <c r="C1085" s="3" t="str">
        <v>H:Hull</v>
      </c>
      <c r="D1085" s="3">
        <f>D1084+1</f>
        <v>1258</v>
      </c>
      <c r="E1085" s="3" t="str">
        <f>CONCAT("Q","/",LEFT(Table2[[#This Row],[Quotation Type]],1),"/", LEFT(Table2[[#This Row],[Branch]],1),"/", RIGHT(YEAR(TODAY()),2), "/",Table2[[#This Row],[Seq. Number]])</f>
        <v>Q/A/H/26/1258</v>
      </c>
      <c r="G1085" s="3" t="str">
        <v>Ocean Soul</v>
      </c>
      <c r="I1085" s="3" t="str">
        <v>GC</v>
      </c>
      <c r="J1085" s="3" t="str">
        <v>Mesco</v>
      </c>
    </row>
    <row r="1086">
      <c r="A1086" s="3">
        <v>45877</v>
      </c>
      <c r="B1086" s="3" t="str">
        <v>A:Addition</v>
      </c>
      <c r="C1086" s="3" t="str">
        <v>P:P&amp;I</v>
      </c>
      <c r="D1086" s="3">
        <f>D1085+1</f>
        <v>1259</v>
      </c>
      <c r="E1086" s="3" t="str">
        <f>CONCAT("Q","/",LEFT(Table2[[#This Row],[Quotation Type]],1),"/", LEFT(Table2[[#This Row],[Branch]],1),"/", RIGHT(YEAR(TODAY()),2), "/",Table2[[#This Row],[Seq. Number]])</f>
        <v>Q/A/P/26/1259</v>
      </c>
      <c r="G1086" s="3" t="str">
        <v>Ocean Soul</v>
      </c>
      <c r="I1086" s="3" t="str">
        <v>GC</v>
      </c>
      <c r="J1086" s="3" t="str">
        <v>Mesco</v>
      </c>
    </row>
    <row r="1087">
      <c r="A1087" s="3">
        <v>45877</v>
      </c>
      <c r="B1087" s="3" t="str">
        <v>N:New Quotation</v>
      </c>
      <c r="C1087" s="3" t="str">
        <v>P:P&amp;I</v>
      </c>
      <c r="D1087" s="3">
        <f>D1086+1</f>
        <v>1260</v>
      </c>
      <c r="E1087" s="3" t="str">
        <f>CONCAT("Q","/",LEFT(Table2[[#This Row],[Quotation Type]],1),"/", LEFT(Table2[[#This Row],[Branch]],1),"/", RIGHT(YEAR(TODAY()),2), "/",Table2[[#This Row],[Seq. Number]])</f>
        <v>Q/N/P/26/1260</v>
      </c>
      <c r="G1087" s="3" t="str">
        <v>Nautilus</v>
      </c>
      <c r="I1087" s="3" t="str">
        <v xml:space="preserve">Supply </v>
      </c>
      <c r="J1087" s="3" t="str">
        <v>Kuzey</v>
      </c>
    </row>
    <row r="1088">
      <c r="A1088" s="3">
        <v>45877</v>
      </c>
      <c r="B1088" s="3" t="str">
        <v>N:New Quotation</v>
      </c>
      <c r="C1088" s="3" t="str">
        <v>P:P&amp;I</v>
      </c>
      <c r="D1088" s="3">
        <f>D1087+1</f>
        <v>1261</v>
      </c>
      <c r="E1088" s="3" t="str">
        <f>CONCAT("Q","/",LEFT(Table2[[#This Row],[Quotation Type]],1),"/", LEFT(Table2[[#This Row],[Branch]],1),"/", RIGHT(YEAR(TODAY()),2), "/",Table2[[#This Row],[Seq. Number]])</f>
        <v>Q/N/P/26/1261</v>
      </c>
      <c r="G1088" s="3" t="str">
        <v>Clever</v>
      </c>
      <c r="I1088" s="3" t="str">
        <v>GC</v>
      </c>
      <c r="J1088" s="3" t="str">
        <v>Profinsure</v>
      </c>
    </row>
    <row r="1089">
      <c r="A1089" s="3">
        <v>45880</v>
      </c>
      <c r="B1089" s="3" t="str">
        <v>N:New Quotation</v>
      </c>
      <c r="C1089" s="3" t="str">
        <v>P:P&amp;I</v>
      </c>
      <c r="D1089" s="3">
        <f>D1088+1</f>
        <v>1262</v>
      </c>
      <c r="E1089" s="3" t="str">
        <f>CONCAT("Q","/",LEFT(Table2[[#This Row],[Quotation Type]],1),"/", LEFT(Table2[[#This Row],[Branch]],1),"/", RIGHT(YEAR(TODAY()),2), "/",Table2[[#This Row],[Seq. Number]])</f>
        <v>Q/N/P/26/1262</v>
      </c>
      <c r="G1089" s="3" t="str">
        <v>Azra C</v>
      </c>
      <c r="I1089" s="3" t="str">
        <v>GC</v>
      </c>
      <c r="J1089" s="3" t="str">
        <v>Profinsure</v>
      </c>
    </row>
    <row r="1090">
      <c r="A1090" s="3">
        <v>45881</v>
      </c>
      <c r="B1090" s="3" t="str">
        <v>N:New Quotation</v>
      </c>
      <c r="C1090" s="3" t="str">
        <v>P:P&amp;I</v>
      </c>
      <c r="D1090" s="3">
        <f>D1089+1</f>
        <v>1263</v>
      </c>
      <c r="E1090" s="3" t="str">
        <f>CONCAT("Q","/",LEFT(Table2[[#This Row],[Quotation Type]],1),"/", LEFT(Table2[[#This Row],[Branch]],1),"/", RIGHT(YEAR(TODAY()),2), "/",Table2[[#This Row],[Seq. Number]])</f>
        <v>Q/N/P/26/1263</v>
      </c>
      <c r="G1090" s="3" t="str">
        <v>Meroe</v>
      </c>
      <c r="I1090" s="3" t="str">
        <v>GC</v>
      </c>
      <c r="J1090" s="3" t="str">
        <v>Profinsure</v>
      </c>
    </row>
    <row r="1091">
      <c r="A1091" s="3">
        <v>45883</v>
      </c>
      <c r="B1091" s="3" t="str">
        <v>N:New Quotation</v>
      </c>
      <c r="C1091" s="3" t="str">
        <v>P:P&amp;I</v>
      </c>
      <c r="D1091" s="3">
        <f>D1090+1</f>
        <v>1264</v>
      </c>
      <c r="E1091" s="3" t="str">
        <f>CONCAT("Q","/",LEFT(Table2[[#This Row],[Quotation Type]],1),"/", LEFT(Table2[[#This Row],[Branch]],1),"/", RIGHT(YEAR(TODAY()),2), "/",Table2[[#This Row],[Seq. Number]])</f>
        <v>Q/N/P/26/1264</v>
      </c>
      <c r="G1091" s="3" t="str">
        <v>Tiger Tug</v>
      </c>
      <c r="I1091" s="3" t="str">
        <v>Tug</v>
      </c>
      <c r="J1091" s="3" t="str">
        <v>Profinsure</v>
      </c>
    </row>
    <row r="1092">
      <c r="A1092" s="3">
        <v>45885</v>
      </c>
      <c r="B1092" s="3" t="str">
        <v>A:Addition</v>
      </c>
      <c r="C1092" s="3" t="str">
        <v>P:P&amp;I</v>
      </c>
      <c r="D1092" s="3">
        <f>D1091+1</f>
        <v>1265</v>
      </c>
      <c r="E1092" s="3" t="str">
        <f>CONCAT("Q","/",LEFT(Table2[[#This Row],[Quotation Type]],1),"/", LEFT(Table2[[#This Row],[Branch]],1),"/", RIGHT(YEAR(TODAY()),2), "/",Table2[[#This Row],[Seq. Number]])</f>
        <v>Q/A/P/26/1265</v>
      </c>
      <c r="G1092" s="3" t="str">
        <v>Gladiator</v>
      </c>
      <c r="I1092" s="3" t="str">
        <v>Tug</v>
      </c>
      <c r="J1092" s="3" t="str">
        <v>Direct</v>
      </c>
    </row>
    <row r="1093">
      <c r="A1093" s="3">
        <v>45890</v>
      </c>
      <c r="B1093" s="3" t="str">
        <v>A:Addition</v>
      </c>
      <c r="C1093" s="3" t="str">
        <v>P:P&amp;I</v>
      </c>
      <c r="D1093" s="3">
        <f>D1092+1</f>
        <v>1266</v>
      </c>
      <c r="E1093" s="3" t="str">
        <f>CONCAT("Q","/",LEFT(Table2[[#This Row],[Quotation Type]],1),"/", LEFT(Table2[[#This Row],[Branch]],1),"/", RIGHT(YEAR(TODAY()),2), "/",Table2[[#This Row],[Seq. Number]])</f>
        <v>Q/A/P/26/1266</v>
      </c>
      <c r="G1093" s="3" t="str">
        <v>Loyga-Olma</v>
      </c>
      <c r="I1093" s="3" t="str">
        <v>GC</v>
      </c>
      <c r="J1093" s="3" t="str">
        <v>Direct</v>
      </c>
    </row>
    <row r="1094">
      <c r="A1094" s="3">
        <v>45890</v>
      </c>
      <c r="B1094" s="3" t="str">
        <v>N:New Quotation</v>
      </c>
      <c r="C1094" s="3" t="str">
        <v>P:P&amp;I</v>
      </c>
      <c r="D1094" s="3">
        <f>D1093+1</f>
        <v>1267</v>
      </c>
      <c r="E1094" s="3" t="str">
        <f>CONCAT("Q","/",LEFT(Table2[[#This Row],[Quotation Type]],1),"/", LEFT(Table2[[#This Row],[Branch]],1),"/", RIGHT(YEAR(TODAY()),2), "/",Table2[[#This Row],[Seq. Number]])</f>
        <v>Q/N/P/26/1267</v>
      </c>
      <c r="G1094" s="3" t="str">
        <v>Carribean Pearl</v>
      </c>
      <c r="I1094" s="3" t="str">
        <v>GC</v>
      </c>
      <c r="J1094" s="3" t="str">
        <v>Kuzey</v>
      </c>
    </row>
    <row r="1095">
      <c r="A1095" s="3">
        <v>45897</v>
      </c>
      <c r="B1095" s="3" t="str">
        <v>R:Renewal</v>
      </c>
      <c r="C1095" s="3" t="str">
        <v>P:P&amp;I</v>
      </c>
      <c r="D1095" s="3">
        <f>D1094+1</f>
        <v>1268</v>
      </c>
      <c r="E1095" s="3" t="str">
        <f>CONCAT("Q","/",LEFT(Table2[[#This Row],[Quotation Type]],1),"/", LEFT(Table2[[#This Row],[Branch]],1),"/", RIGHT(YEAR(TODAY()),2), "/",Table2[[#This Row],[Seq. Number]])</f>
        <v>Q/R/P/26/1268</v>
      </c>
      <c r="F1095" s="3" t="str">
        <v>Blue Bay</v>
      </c>
      <c r="I1095" s="3" t="str">
        <v>GC</v>
      </c>
      <c r="J1095" s="3" t="str">
        <v>Lockton</v>
      </c>
    </row>
    <row r="1096">
      <c r="A1096" s="3">
        <v>45897</v>
      </c>
      <c r="B1096" s="3" t="str">
        <v>N:New Quotation</v>
      </c>
      <c r="C1096" s="3" t="str">
        <v>H:Hull</v>
      </c>
      <c r="D1096" s="3">
        <f>D1095+1</f>
        <v>1269</v>
      </c>
      <c r="E1096" s="3" t="str">
        <f>CONCAT("Q","/",LEFT(Table2[[#This Row],[Quotation Type]],1),"/", LEFT(Table2[[#This Row],[Branch]],1),"/", RIGHT(YEAR(TODAY()),2), "/",Table2[[#This Row],[Seq. Number]])</f>
        <v>Q/N/H/26/1269</v>
      </c>
      <c r="G1096" s="3" t="str">
        <v>Ayita</v>
      </c>
      <c r="I1096" s="3" t="str">
        <v>GC</v>
      </c>
      <c r="J1096" s="3" t="str">
        <v>Kominsur</v>
      </c>
    </row>
    <row r="1097">
      <c r="A1097" s="3">
        <v>45897</v>
      </c>
      <c r="B1097" s="3" t="str">
        <v>N:New Quotation</v>
      </c>
      <c r="C1097" s="3" t="str">
        <v>P:P&amp;I</v>
      </c>
      <c r="D1097" s="3">
        <f>D1096+1</f>
        <v>1270</v>
      </c>
      <c r="E1097" s="3" t="str">
        <f>CONCAT("Q","/",LEFT(Table2[[#This Row],[Quotation Type]],1),"/", LEFT(Table2[[#This Row],[Branch]],1),"/", RIGHT(YEAR(TODAY()),2), "/",Table2[[#This Row],[Seq. Number]])</f>
        <v>Q/N/P/26/1270</v>
      </c>
      <c r="G1097" s="3" t="str">
        <v>Lime</v>
      </c>
      <c r="I1097" s="3" t="str">
        <v>GC</v>
      </c>
      <c r="J1097" s="3" t="str">
        <v>Profinsure</v>
      </c>
    </row>
    <row r="1098">
      <c r="A1098" s="3">
        <v>45897</v>
      </c>
      <c r="B1098" s="3" t="str">
        <v>N:New Quotation</v>
      </c>
      <c r="C1098" s="3" t="str">
        <v>H:Hull</v>
      </c>
      <c r="D1098" s="3">
        <f>D1097+1</f>
        <v>1271</v>
      </c>
      <c r="E1098" s="3" t="str">
        <f>CONCAT("Q","/",LEFT(Table2[[#This Row],[Quotation Type]],1),"/", LEFT(Table2[[#This Row],[Branch]],1),"/", RIGHT(YEAR(TODAY()),2), "/",Table2[[#This Row],[Seq. Number]])</f>
        <v>Q/N/H/26/1271</v>
      </c>
      <c r="G1098" s="3" t="str">
        <v>Seven Pearls</v>
      </c>
      <c r="I1098" s="3" t="str">
        <v>O/T</v>
      </c>
      <c r="J1098" s="3" t="str">
        <v>SSS</v>
      </c>
    </row>
    <row r="1099">
      <c r="A1099" s="3">
        <v>45905</v>
      </c>
      <c r="B1099" s="3" t="str">
        <v>R:Renewal</v>
      </c>
      <c r="C1099" s="3" t="str">
        <v>P:P&amp;I</v>
      </c>
      <c r="D1099" s="3">
        <f>D1098+1</f>
        <v>1272</v>
      </c>
      <c r="E1099" s="3" t="str">
        <f>CONCAT("Q","/",LEFT(Table2[[#This Row],[Quotation Type]],1),"/", LEFT(Table2[[#This Row],[Branch]],1),"/", RIGHT(YEAR(TODAY()),2), "/",Table2[[#This Row],[Seq. Number]])</f>
        <v>Q/R/P/26/1272</v>
      </c>
      <c r="G1099" s="3" t="str">
        <v>Spiridon II</v>
      </c>
      <c r="I1099" s="3" t="str">
        <v>MLV</v>
      </c>
      <c r="J1099" s="3" t="str">
        <v>Direct</v>
      </c>
    </row>
    <row r="1100">
      <c r="A1100" s="3">
        <v>45909</v>
      </c>
      <c r="B1100" s="3" t="str">
        <v>A:Addition</v>
      </c>
      <c r="C1100" s="3" t="str">
        <v>H:Hull</v>
      </c>
      <c r="D1100" s="3">
        <f>D1099+1</f>
        <v>1273</v>
      </c>
      <c r="E1100" s="3" t="str">
        <f>CONCAT("Q","/",LEFT(Table2[[#This Row],[Quotation Type]],1),"/", LEFT(Table2[[#This Row],[Branch]],1),"/", RIGHT(YEAR(TODAY()),2), "/",Table2[[#This Row],[Seq. Number]])</f>
        <v>Q/A/H/26/1273</v>
      </c>
      <c r="G1100" s="3" t="str">
        <v>Cattle Force</v>
      </c>
      <c r="I1100" s="3" t="str">
        <v>MLV</v>
      </c>
      <c r="J1100" s="3" t="str">
        <v>Direct</v>
      </c>
    </row>
    <row r="1101">
      <c r="A1101" s="3">
        <v>45909</v>
      </c>
      <c r="B1101" s="3" t="str">
        <v>N:New Quotation</v>
      </c>
      <c r="C1101" s="3" t="str">
        <v>H:Hull</v>
      </c>
      <c r="D1101" s="3">
        <f>D1100+1</f>
        <v>1274</v>
      </c>
      <c r="E1101" s="3" t="str">
        <f>CONCAT("Q","/",LEFT(Table2[[#This Row],[Quotation Type]],1),"/", LEFT(Table2[[#This Row],[Branch]],1),"/", RIGHT(YEAR(TODAY()),2), "/",Table2[[#This Row],[Seq. Number]])</f>
        <v>Q/N/H/26/1274</v>
      </c>
      <c r="G1101" s="3" t="str">
        <v>Alahmed</v>
      </c>
      <c r="I1101" s="3" t="str">
        <v>GC</v>
      </c>
      <c r="J1101" s="3" t="str">
        <v>Mesco</v>
      </c>
    </row>
    <row r="1102">
      <c r="A1102" s="3">
        <v>45911</v>
      </c>
      <c r="B1102" s="3" t="str">
        <v>N:New Quotation</v>
      </c>
      <c r="C1102" s="3" t="str">
        <v>H:Hull</v>
      </c>
      <c r="D1102" s="3">
        <f>D1101+1</f>
        <v>1275</v>
      </c>
      <c r="E1102" s="3" t="str">
        <f>CONCAT("Q","/",LEFT(Table2[[#This Row],[Quotation Type]],1),"/", LEFT(Table2[[#This Row],[Branch]],1),"/", RIGHT(YEAR(TODAY()),2), "/",Table2[[#This Row],[Seq. Number]])</f>
        <v>Q/N/H/26/1275</v>
      </c>
      <c r="G1102" s="3" t="str">
        <v>Aquila</v>
      </c>
      <c r="I1102" s="3" t="str">
        <v>Tug</v>
      </c>
      <c r="J1102" s="3" t="str">
        <v>Newberry</v>
      </c>
    </row>
    <row r="1103">
      <c r="A1103" s="3">
        <v>45915</v>
      </c>
      <c r="B1103" s="3" t="str">
        <v>R:Renewal</v>
      </c>
      <c r="C1103" s="3" t="str">
        <v>H:Hull</v>
      </c>
      <c r="D1103" s="3">
        <f>D1102+1</f>
        <v>1276</v>
      </c>
      <c r="E1103" s="3" t="str">
        <f>CONCAT("Q","/",LEFT(Table2[[#This Row],[Quotation Type]],1),"/", LEFT(Table2[[#This Row],[Branch]],1),"/", RIGHT(YEAR(TODAY()),2), "/",Table2[[#This Row],[Seq. Number]])</f>
        <v>Q/R/H/26/1276</v>
      </c>
      <c r="G1103" s="3" t="str">
        <v>Aqua Spirit</v>
      </c>
      <c r="I1103" s="3" t="str">
        <v>Gas Carrier</v>
      </c>
      <c r="J1103" s="3" t="str">
        <v>Newberry</v>
      </c>
    </row>
    <row r="1104">
      <c r="A1104" s="3">
        <v>45915</v>
      </c>
      <c r="B1104" s="3" t="str">
        <v>R:Renewal</v>
      </c>
      <c r="C1104" s="3" t="str">
        <v>H:Hull</v>
      </c>
      <c r="D1104" s="3">
        <f>D1103+1</f>
        <v>1277</v>
      </c>
      <c r="E1104" s="3" t="str">
        <f>CONCAT("Q","/",LEFT(Table2[[#This Row],[Quotation Type]],1),"/", LEFT(Table2[[#This Row],[Branch]],1),"/", RIGHT(YEAR(TODAY()),2), "/",Table2[[#This Row],[Seq. Number]])</f>
        <v>Q/R/H/26/1277</v>
      </c>
      <c r="G1104" s="3" t="str">
        <v>Ullswater</v>
      </c>
      <c r="I1104" s="3" t="str">
        <v>Gas Carrier</v>
      </c>
      <c r="J1104" s="3" t="str">
        <v>Newberry</v>
      </c>
    </row>
    <row r="1105">
      <c r="A1105" s="3">
        <v>45915</v>
      </c>
      <c r="B1105" s="3" t="str">
        <v>R:Renewal</v>
      </c>
      <c r="C1105" s="3" t="str">
        <v>H:Hull</v>
      </c>
      <c r="D1105" s="3">
        <f>D1104+1</f>
        <v>1278</v>
      </c>
      <c r="E1105" s="3" t="str">
        <f>CONCAT("Q","/",LEFT(Table2[[#This Row],[Quotation Type]],1),"/", LEFT(Table2[[#This Row],[Branch]],1),"/", RIGHT(YEAR(TODAY()),2), "/",Table2[[#This Row],[Seq. Number]])</f>
        <v>Q/R/H/26/1278</v>
      </c>
      <c r="G1105" s="3" t="str">
        <v>Sea Bridge</v>
      </c>
      <c r="I1105" s="3" t="str">
        <v>Service</v>
      </c>
      <c r="J1105" s="3" t="str">
        <v>Direct</v>
      </c>
    </row>
    <row r="1106">
      <c r="A1106" s="3">
        <v>45915</v>
      </c>
      <c r="B1106" s="3" t="str">
        <v>R:Renewal</v>
      </c>
      <c r="C1106" s="3" t="str">
        <v>P:P&amp;I</v>
      </c>
      <c r="D1106" s="3">
        <f>D1105+1</f>
        <v>1279</v>
      </c>
      <c r="E1106" s="3" t="str">
        <f>CONCAT("Q","/",LEFT(Table2[[#This Row],[Quotation Type]],1),"/", LEFT(Table2[[#This Row],[Branch]],1),"/", RIGHT(YEAR(TODAY()),2), "/",Table2[[#This Row],[Seq. Number]])</f>
        <v>Q/R/P/26/1279</v>
      </c>
      <c r="G1106" s="3" t="str">
        <v>Sea Bridge</v>
      </c>
      <c r="I1106" s="3" t="str">
        <v>Service</v>
      </c>
      <c r="J1106" s="3" t="str">
        <v>Direct</v>
      </c>
    </row>
    <row r="1107">
      <c r="A1107" s="3">
        <v>45916</v>
      </c>
      <c r="B1107" s="3" t="str">
        <v>R:Renewal</v>
      </c>
      <c r="C1107" s="3" t="str">
        <v>H:Hull</v>
      </c>
      <c r="D1107" s="3">
        <f>D1106+1</f>
        <v>1280</v>
      </c>
      <c r="E1107" s="3" t="str">
        <f>CONCAT("Q","/",LEFT(Table2[[#This Row],[Quotation Type]],1),"/", LEFT(Table2[[#This Row],[Branch]],1),"/", RIGHT(YEAR(TODAY()),2), "/",Table2[[#This Row],[Seq. Number]])</f>
        <v>Q/R/H/26/1280</v>
      </c>
      <c r="F1107" s="3" t="str">
        <v xml:space="preserve">Euro West </v>
      </c>
      <c r="I1107" s="3" t="str">
        <v>BC</v>
      </c>
      <c r="J1107" s="3" t="str">
        <v>Sarnia</v>
      </c>
    </row>
    <row r="1108">
      <c r="A1108" s="3">
        <v>45916</v>
      </c>
      <c r="B1108" s="3" t="str">
        <v>R:Renewal</v>
      </c>
      <c r="C1108" s="3" t="str">
        <v>H:Hull</v>
      </c>
      <c r="D1108" s="3">
        <f>D1107+1</f>
        <v>1281</v>
      </c>
      <c r="E1108" s="3" t="str">
        <f>CONCAT("Q","/",LEFT(Table2[[#This Row],[Quotation Type]],1),"/", LEFT(Table2[[#This Row],[Branch]],1),"/", RIGHT(YEAR(TODAY()),2), "/",Table2[[#This Row],[Seq. Number]])</f>
        <v>Q/R/H/26/1281</v>
      </c>
      <c r="G1108" s="3" t="str">
        <v>Golden Bird</v>
      </c>
      <c r="I1108" s="3" t="str">
        <v>GC</v>
      </c>
    </row>
    <row r="1109">
      <c r="A1109" s="3">
        <v>45916</v>
      </c>
      <c r="B1109" s="3" t="str">
        <v>R:Renewal</v>
      </c>
      <c r="C1109" s="3" t="str">
        <v>H:Hull</v>
      </c>
      <c r="D1109" s="3">
        <f>D1108+1</f>
        <v>1282</v>
      </c>
      <c r="E1109" s="3" t="str">
        <f>CONCAT("Q","/",LEFT(Table2[[#This Row],[Quotation Type]],1),"/", LEFT(Table2[[#This Row],[Branch]],1),"/", RIGHT(YEAR(TODAY()),2), "/",Table2[[#This Row],[Seq. Number]])</f>
        <v>Q/R/H/26/1282</v>
      </c>
      <c r="G1109" s="3" t="str">
        <v>ITIDAL</v>
      </c>
      <c r="I1109" s="3" t="str">
        <v>GC</v>
      </c>
      <c r="J1109" s="3" t="str">
        <v>BMB</v>
      </c>
    </row>
    <row r="1110">
      <c r="A1110" s="3">
        <v>45916</v>
      </c>
      <c r="B1110" s="3" t="str">
        <v>R:Renewal</v>
      </c>
      <c r="C1110" s="3" t="str">
        <v>H:Hull</v>
      </c>
      <c r="D1110" s="3">
        <f>D1109+1</f>
        <v>1283</v>
      </c>
      <c r="E1110" s="3" t="str">
        <f>CONCAT("Q","/",LEFT(Table2[[#This Row],[Quotation Type]],1),"/", LEFT(Table2[[#This Row],[Branch]],1),"/", RIGHT(YEAR(TODAY()),2), "/",Table2[[#This Row],[Seq. Number]])</f>
        <v>Q/R/H/26/1283</v>
      </c>
      <c r="G1110" s="3" t="str">
        <v>MUSTAFA AFANDI</v>
      </c>
      <c r="I1110" s="3" t="str">
        <v>BC</v>
      </c>
      <c r="J1110" s="3" t="str">
        <v>BMB</v>
      </c>
    </row>
    <row r="1111">
      <c r="A1111" s="3">
        <v>45917</v>
      </c>
      <c r="B1111" s="3" t="str">
        <v>R:Renewal</v>
      </c>
      <c r="C1111" s="3" t="str">
        <v>W:War</v>
      </c>
      <c r="D1111" s="3">
        <f>D1110+1</f>
        <v>1284</v>
      </c>
      <c r="E1111" s="3" t="str">
        <f>CONCAT("Q","/",LEFT(Table2[[#This Row],[Quotation Type]],1),"/", LEFT(Table2[[#This Row],[Branch]],1),"/", RIGHT(YEAR(TODAY()),2), "/",Table2[[#This Row],[Seq. Number]])</f>
        <v>Q/R/W/26/1284</v>
      </c>
      <c r="F1111" s="3" t="str">
        <v xml:space="preserve">Euro West </v>
      </c>
      <c r="I1111" s="3" t="str">
        <v>BC</v>
      </c>
      <c r="J1111" s="3" t="str">
        <v>Sarnia</v>
      </c>
    </row>
    <row r="1112">
      <c r="A1112" s="3">
        <v>45917</v>
      </c>
      <c r="B1112" s="3" t="str">
        <v>N:New Quotation</v>
      </c>
      <c r="C1112" s="3" t="str">
        <v>P:P&amp;I</v>
      </c>
      <c r="D1112" s="3">
        <f>D1111+1</f>
        <v>1285</v>
      </c>
      <c r="E1112" s="3" t="str">
        <f>CONCAT("Q","/",LEFT(Table2[[#This Row],[Quotation Type]],1),"/", LEFT(Table2[[#This Row],[Branch]],1),"/", RIGHT(YEAR(TODAY()),2), "/",Table2[[#This Row],[Seq. Number]])</f>
        <v>Q/N/P/26/1285</v>
      </c>
      <c r="G1112" s="3" t="str">
        <v>Taj</v>
      </c>
      <c r="I1112" s="3" t="str">
        <v>GC</v>
      </c>
      <c r="J1112" s="3" t="str">
        <v>Direct</v>
      </c>
    </row>
    <row r="1113">
      <c r="A1113" s="3">
        <v>45919</v>
      </c>
      <c r="B1113" s="3" t="str">
        <v>N:New Quotation</v>
      </c>
      <c r="C1113" s="3" t="str">
        <v>P:P&amp;I</v>
      </c>
      <c r="D1113" s="3">
        <f>D1112+1</f>
        <v>1286</v>
      </c>
      <c r="E1113" s="3" t="str">
        <f>CONCAT("Q","/",LEFT(Table2[[#This Row],[Quotation Type]],1),"/", LEFT(Table2[[#This Row],[Branch]],1),"/", RIGHT(YEAR(TODAY()),2), "/",Table2[[#This Row],[Seq. Number]])</f>
        <v>Q/N/P/26/1286</v>
      </c>
      <c r="G1113" s="3" t="str">
        <v>ALINA</v>
      </c>
      <c r="I1113" s="3" t="str">
        <v>GC</v>
      </c>
      <c r="J1113" s="3" t="str">
        <v>Profinsure</v>
      </c>
    </row>
    <row r="1114">
      <c r="A1114" s="3">
        <v>45919</v>
      </c>
      <c r="B1114" s="3" t="str">
        <v>R:Renewal</v>
      </c>
      <c r="C1114" s="3" t="str">
        <v>H:Hull</v>
      </c>
      <c r="D1114" s="3">
        <f>D1113+1</f>
        <v>1287</v>
      </c>
      <c r="E1114" s="3" t="str">
        <f>CONCAT("Q","/",LEFT(Table2[[#This Row],[Quotation Type]],1),"/", LEFT(Table2[[#This Row],[Branch]],1),"/", RIGHT(YEAR(TODAY()),2), "/",Table2[[#This Row],[Seq. Number]])</f>
        <v>Q/R/H/26/1287</v>
      </c>
      <c r="G1114" s="3" t="str">
        <v>LSS Success</v>
      </c>
      <c r="I1114" s="3" t="str">
        <v>MLV</v>
      </c>
      <c r="J1114" s="3" t="str">
        <v>CIB</v>
      </c>
    </row>
    <row r="1115">
      <c r="A1115" s="3">
        <v>45922</v>
      </c>
      <c r="B1115" s="3" t="str">
        <v>R:Renewal</v>
      </c>
      <c r="C1115" s="3" t="str">
        <v>W:War</v>
      </c>
      <c r="D1115" s="3">
        <f>D1114+1</f>
        <v>1288</v>
      </c>
      <c r="E1115" s="3" t="str">
        <f>CONCAT("Q","/",LEFT(Table2[[#This Row],[Quotation Type]],1),"/", LEFT(Table2[[#This Row],[Branch]],1),"/", RIGHT(YEAR(TODAY()),2), "/",Table2[[#This Row],[Seq. Number]])</f>
        <v>Q/R/W/26/1288</v>
      </c>
      <c r="G1115" s="3" t="str">
        <v>LSS Success</v>
      </c>
      <c r="I1115" s="3" t="str">
        <v>MLV</v>
      </c>
      <c r="J1115" s="3" t="str">
        <v>CIB</v>
      </c>
    </row>
    <row r="1116">
      <c r="A1116" s="3">
        <v>45922</v>
      </c>
      <c r="B1116" s="3" t="str">
        <v>A:Addition</v>
      </c>
      <c r="C1116" s="3" t="str">
        <v>P:P&amp;I</v>
      </c>
      <c r="D1116" s="3">
        <f>D1115+1</f>
        <v>1289</v>
      </c>
      <c r="E1116" s="3" t="str">
        <f>CONCAT("Q","/",LEFT(Table2[[#This Row],[Quotation Type]],1),"/", LEFT(Table2[[#This Row],[Branch]],1),"/", RIGHT(YEAR(TODAY()),2), "/",Table2[[#This Row],[Seq. Number]])</f>
        <v>Q/A/P/26/1289</v>
      </c>
      <c r="G1116" s="3" t="str">
        <v>Hercules</v>
      </c>
      <c r="I1116" s="3" t="str">
        <v>Tug</v>
      </c>
      <c r="J1116" s="3" t="str">
        <v>Direct</v>
      </c>
    </row>
    <row r="1117">
      <c r="A1117" s="3">
        <v>45923</v>
      </c>
      <c r="B1117" s="3" t="str">
        <v>N:New Quotation</v>
      </c>
      <c r="C1117" s="3" t="str">
        <v>H:Hull</v>
      </c>
      <c r="D1117" s="3">
        <f>D1116+1</f>
        <v>1290</v>
      </c>
      <c r="E1117" s="3" t="str">
        <f>CONCAT("Q","/",LEFT(Table2[[#This Row],[Quotation Type]],1),"/", LEFT(Table2[[#This Row],[Branch]],1),"/", RIGHT(YEAR(TODAY()),2), "/",Table2[[#This Row],[Seq. Number]])</f>
        <v>Q/N/H/26/1290</v>
      </c>
      <c r="F1117" s="3" t="str">
        <v>Ceylin Ships</v>
      </c>
      <c r="I1117" s="3" t="str">
        <v>BC</v>
      </c>
      <c r="J1117" s="3" t="str">
        <v>Newberry</v>
      </c>
    </row>
    <row r="1118">
      <c r="A1118" s="3">
        <v>45924</v>
      </c>
      <c r="B1118" s="3" t="str">
        <v>A:Addition</v>
      </c>
      <c r="C1118" s="3" t="str">
        <v>H:Hull</v>
      </c>
      <c r="D1118" s="3">
        <f>D1117+1</f>
        <v>1291</v>
      </c>
      <c r="E1118" s="3" t="str">
        <f>CONCAT("Q","/",LEFT(Table2[[#This Row],[Quotation Type]],1),"/", LEFT(Table2[[#This Row],[Branch]],1),"/", RIGHT(YEAR(TODAY()),2), "/",Table2[[#This Row],[Seq. Number]])</f>
        <v>Q/A/H/26/1291</v>
      </c>
      <c r="G1118" s="3" t="str">
        <v>ITIDAL</v>
      </c>
      <c r="I1118" s="3" t="str">
        <v>GC</v>
      </c>
      <c r="J1118" s="3" t="str">
        <v>Direct</v>
      </c>
    </row>
    <row r="1119">
      <c r="A1119" s="3">
        <v>45924</v>
      </c>
      <c r="B1119" s="3" t="str">
        <v>A:Addition</v>
      </c>
      <c r="C1119" s="3" t="str">
        <v>H:Hull</v>
      </c>
      <c r="D1119" s="3">
        <f>D1118+1</f>
        <v>1292</v>
      </c>
      <c r="E1119" s="3" t="str">
        <f>CONCAT("Q","/",LEFT(Table2[[#This Row],[Quotation Type]],1),"/", LEFT(Table2[[#This Row],[Branch]],1),"/", RIGHT(YEAR(TODAY()),2), "/",Table2[[#This Row],[Seq. Number]])</f>
        <v>Q/A/H/26/1292</v>
      </c>
      <c r="G1119" s="3" t="str">
        <v>MUSTAFA AFANDI</v>
      </c>
      <c r="I1119" s="3" t="str">
        <v>BC</v>
      </c>
      <c r="J1119" s="3" t="str">
        <v>Direct</v>
      </c>
    </row>
    <row r="1120">
      <c r="A1120" s="3">
        <v>45925</v>
      </c>
      <c r="B1120" s="3" t="str">
        <v>A:Addition</v>
      </c>
      <c r="C1120" s="3" t="str">
        <v>H:Hull</v>
      </c>
      <c r="D1120" s="3">
        <f>D1119+1</f>
        <v>1293</v>
      </c>
      <c r="E1120" s="3" t="str">
        <f>CONCAT("Q","/",LEFT(Table2[[#This Row],[Quotation Type]],1),"/", LEFT(Table2[[#This Row],[Branch]],1),"/", RIGHT(YEAR(TODAY()),2), "/",Table2[[#This Row],[Seq. Number]])</f>
        <v>Q/A/H/26/1293</v>
      </c>
      <c r="G1120" s="3" t="str">
        <v>NS HELSE &amp; ERA</v>
      </c>
      <c r="I1120" s="3" t="str">
        <v>GC</v>
      </c>
      <c r="J1120" s="3" t="str">
        <v>Direct</v>
      </c>
    </row>
    <row r="1121">
      <c r="A1121" s="3">
        <v>45925</v>
      </c>
      <c r="B1121" s="3" t="str">
        <v>A:Addition</v>
      </c>
      <c r="C1121" s="3" t="str">
        <v>P:P&amp;I</v>
      </c>
      <c r="D1121" s="3">
        <f>D1120+1</f>
        <v>1294</v>
      </c>
      <c r="E1121" s="3" t="str">
        <f>CONCAT("Q","/",LEFT(Table2[[#This Row],[Quotation Type]],1),"/", LEFT(Table2[[#This Row],[Branch]],1),"/", RIGHT(YEAR(TODAY()),2), "/",Table2[[#This Row],[Seq. Number]])</f>
        <v>Q/A/P/26/1294</v>
      </c>
      <c r="G1121" s="3" t="str">
        <v>NS HELSE &amp; ERA</v>
      </c>
      <c r="I1121" s="3" t="str">
        <v>GC</v>
      </c>
      <c r="J1121" s="3" t="str">
        <v>Direct</v>
      </c>
    </row>
    <row r="1122">
      <c r="A1122" s="3">
        <v>45929</v>
      </c>
      <c r="B1122" s="3" t="str">
        <v>A:Addition</v>
      </c>
      <c r="C1122" s="3" t="str">
        <v>H:Hull</v>
      </c>
      <c r="D1122" s="3">
        <f>D1121+1</f>
        <v>1295</v>
      </c>
      <c r="E1122" s="3" t="str">
        <f>CONCAT("Q","/",LEFT(Table2[[#This Row],[Quotation Type]],1),"/", LEFT(Table2[[#This Row],[Branch]],1),"/", RIGHT(YEAR(TODAY()),2), "/",Table2[[#This Row],[Seq. Number]])</f>
        <v>Q/A/H/26/1295</v>
      </c>
      <c r="G1122" s="3" t="str">
        <v>Sevaal</v>
      </c>
      <c r="I1122" s="3" t="str">
        <v>GC</v>
      </c>
      <c r="J1122" s="3" t="str">
        <v>Direct</v>
      </c>
    </row>
    <row r="1123">
      <c r="A1123" s="3">
        <v>45929</v>
      </c>
      <c r="B1123" s="3" t="str">
        <v>A:Addition</v>
      </c>
      <c r="C1123" s="3" t="str">
        <v>P:P&amp;I</v>
      </c>
      <c r="D1123" s="3">
        <f>D1122+1</f>
        <v>1296</v>
      </c>
      <c r="E1123" s="3" t="str">
        <f>CONCAT("Q","/",LEFT(Table2[[#This Row],[Quotation Type]],1),"/", LEFT(Table2[[#This Row],[Branch]],1),"/", RIGHT(YEAR(TODAY()),2), "/",Table2[[#This Row],[Seq. Number]])</f>
        <v>Q/A/P/26/1296</v>
      </c>
      <c r="G1123" s="3" t="str">
        <v>Sevaal</v>
      </c>
      <c r="I1123" s="3" t="str">
        <v>GC</v>
      </c>
      <c r="J1123" s="3" t="str">
        <v>Direct</v>
      </c>
    </row>
    <row r="1124">
      <c r="A1124" s="3">
        <v>45929</v>
      </c>
      <c r="B1124" s="3" t="str">
        <v>N:New Quotation</v>
      </c>
      <c r="C1124" s="3" t="str">
        <v>P:P&amp;I</v>
      </c>
      <c r="D1124" s="3">
        <f>D1123+1</f>
        <v>1297</v>
      </c>
      <c r="E1124" s="3" t="str">
        <f>CONCAT("Q","/",LEFT(Table2[[#This Row],[Quotation Type]],1),"/", LEFT(Table2[[#This Row],[Branch]],1),"/", RIGHT(YEAR(TODAY()),2), "/",Table2[[#This Row],[Seq. Number]])</f>
        <v>Q/N/P/26/1297</v>
      </c>
      <c r="G1124" s="3" t="str">
        <v>Marwa B</v>
      </c>
      <c r="I1124" s="3" t="str">
        <v>GC</v>
      </c>
      <c r="J1124" s="3" t="str">
        <v>Direct</v>
      </c>
    </row>
    <row r="1125">
      <c r="A1125" s="3">
        <v>45929</v>
      </c>
      <c r="B1125" s="3" t="str">
        <v>A:Addition</v>
      </c>
      <c r="C1125" s="3" t="str">
        <v>P:P&amp;I</v>
      </c>
      <c r="D1125" s="3">
        <f>D1124+1</f>
        <v>1298</v>
      </c>
      <c r="E1125" s="3" t="str">
        <f>CONCAT("Q","/",LEFT(Table2[[#This Row],[Quotation Type]],1),"/", LEFT(Table2[[#This Row],[Branch]],1),"/", RIGHT(YEAR(TODAY()),2), "/",Table2[[#This Row],[Seq. Number]])</f>
        <v>Q/A/P/26/1298</v>
      </c>
      <c r="F1125" s="3" t="str">
        <v>Alphamoon</v>
      </c>
      <c r="G1125" s="3" t="str">
        <v>Vinaship Sea</v>
      </c>
      <c r="I1125" s="3" t="str">
        <v>GC</v>
      </c>
      <c r="J1125" s="3" t="str">
        <v>Lockton Omni</v>
      </c>
    </row>
    <row r="1126">
      <c r="A1126" s="3">
        <v>45930</v>
      </c>
      <c r="B1126" s="3" t="str">
        <v>N:New Quotation</v>
      </c>
      <c r="C1126" s="3" t="str">
        <v>V:Voyage</v>
      </c>
      <c r="D1126" s="3">
        <f>D1125+1</f>
        <v>1299</v>
      </c>
      <c r="E1126" s="3" t="str">
        <f>CONCAT("Q","/",LEFT(Table2[[#This Row],[Quotation Type]],1),"/", LEFT(Table2[[#This Row],[Branch]],1),"/", RIGHT(YEAR(TODAY()),2), "/",Table2[[#This Row],[Seq. Number]])</f>
        <v>Q/N/V/26/1299</v>
      </c>
      <c r="F1126" s="3" t="str">
        <v>Best Oasis</v>
      </c>
      <c r="G1126" s="3" t="str">
        <v>Guly</v>
      </c>
      <c r="I1126" s="3" t="str">
        <v>O/T</v>
      </c>
      <c r="J1126" s="3" t="str">
        <v>CIB</v>
      </c>
    </row>
    <row r="1127">
      <c r="A1127" s="3">
        <v>45932</v>
      </c>
      <c r="B1127" s="3" t="str">
        <v>A:Addition</v>
      </c>
      <c r="C1127" s="3" t="str">
        <v>P:P&amp;I</v>
      </c>
      <c r="D1127" s="3">
        <f>D1126+1</f>
        <v>1300</v>
      </c>
      <c r="E1127" s="3" t="str">
        <f>CONCAT("Q","/",LEFT(Table2[[#This Row],[Quotation Type]],1),"/", LEFT(Table2[[#This Row],[Branch]],1),"/", RIGHT(YEAR(TODAY()),2), "/",Table2[[#This Row],[Seq. Number]])</f>
        <v>Q/A/P/26/1300</v>
      </c>
      <c r="G1127" s="3" t="str">
        <v>Nederland Stream</v>
      </c>
      <c r="I1127" s="3" t="str">
        <v>MLV</v>
      </c>
      <c r="J1127" s="3" t="str">
        <v>Direct</v>
      </c>
    </row>
    <row r="1128">
      <c r="A1128" s="3">
        <v>45932</v>
      </c>
      <c r="B1128" s="3" t="str">
        <v>A:Addition</v>
      </c>
      <c r="C1128" s="3" t="str">
        <v>H:Hull</v>
      </c>
      <c r="D1128" s="3">
        <f>D1127+1</f>
        <v>1301</v>
      </c>
      <c r="E1128" s="3" t="str">
        <f>CONCAT("Q","/",LEFT(Table2[[#This Row],[Quotation Type]],1),"/", LEFT(Table2[[#This Row],[Branch]],1),"/", RIGHT(YEAR(TODAY()),2), "/",Table2[[#This Row],[Seq. Number]])</f>
        <v>Q/A/H/26/1301</v>
      </c>
      <c r="G1128" s="3" t="str">
        <v>Nederland Stream</v>
      </c>
      <c r="I1128" s="3" t="str">
        <v>MLV</v>
      </c>
      <c r="J1128" s="3" t="str">
        <v>Direct</v>
      </c>
    </row>
    <row r="1129">
      <c r="A1129" s="3">
        <v>45932</v>
      </c>
      <c r="B1129" s="3" t="str">
        <v>N:New Quotation</v>
      </c>
      <c r="C1129" s="3" t="str">
        <v>P:P&amp;I</v>
      </c>
      <c r="D1129" s="3">
        <f>D1128+1</f>
        <v>1302</v>
      </c>
      <c r="E1129" s="3" t="str">
        <f>CONCAT("Q","/",LEFT(Table2[[#This Row],[Quotation Type]],1),"/", LEFT(Table2[[#This Row],[Branch]],1),"/", RIGHT(YEAR(TODAY()),2), "/",Table2[[#This Row],[Seq. Number]])</f>
        <v>Q/N/P/26/1302</v>
      </c>
      <c r="G1129" s="3" t="str">
        <v>Rahaf Moon</v>
      </c>
      <c r="I1129" s="3" t="str">
        <v>GC</v>
      </c>
      <c r="J1129" s="3" t="str">
        <v>Profinsure</v>
      </c>
    </row>
    <row r="1130">
      <c r="A1130" s="3">
        <v>45933</v>
      </c>
      <c r="B1130" s="3" t="str">
        <v>A:Addition</v>
      </c>
      <c r="C1130" s="3" t="str">
        <v>H:Hull</v>
      </c>
      <c r="D1130" s="3">
        <f>D1129+1</f>
        <v>1303</v>
      </c>
      <c r="E1130" s="3" t="str">
        <f>CONCAT("Q","/",LEFT(Table2[[#This Row],[Quotation Type]],1),"/", LEFT(Table2[[#This Row],[Branch]],1),"/", RIGHT(YEAR(TODAY()),2), "/",Table2[[#This Row],[Seq. Number]])</f>
        <v>Q/A/H/26/1303</v>
      </c>
      <c r="F1130" s="3" t="str">
        <v>Alphamoon</v>
      </c>
      <c r="I1130" s="3" t="str">
        <v>BC</v>
      </c>
      <c r="J1130" s="3" t="str">
        <v>Mesco</v>
      </c>
    </row>
    <row r="1131">
      <c r="A1131" s="3">
        <v>45938</v>
      </c>
      <c r="B1131" s="3" t="str">
        <v>A:Addition</v>
      </c>
      <c r="C1131" s="3" t="str">
        <v>H:Hull</v>
      </c>
      <c r="D1131" s="3">
        <f>D1130+1</f>
        <v>1304</v>
      </c>
      <c r="E1131" s="3" t="str">
        <f>CONCAT("Q","/",LEFT(Table2[[#This Row],[Quotation Type]],1),"/", LEFT(Table2[[#This Row],[Branch]],1),"/", RIGHT(YEAR(TODAY()),2), "/",Table2[[#This Row],[Seq. Number]])</f>
        <v>Q/A/H/26/1304</v>
      </c>
      <c r="F1131" s="3" t="str">
        <v>El Reedy Shipping</v>
      </c>
      <c r="J1131" s="3" t="str">
        <v>Sarnia</v>
      </c>
    </row>
    <row r="1132">
      <c r="A1132" s="3">
        <v>45938</v>
      </c>
      <c r="B1132" s="3" t="str">
        <v>A:Addition</v>
      </c>
      <c r="C1132" s="3" t="str">
        <v>W:War</v>
      </c>
      <c r="D1132" s="3">
        <f>D1131+1</f>
        <v>1305</v>
      </c>
      <c r="E1132" s="3" t="str">
        <f>CONCAT("Q","/",LEFT(Table2[[#This Row],[Quotation Type]],1),"/", LEFT(Table2[[#This Row],[Branch]],1),"/", RIGHT(YEAR(TODAY()),2), "/",Table2[[#This Row],[Seq. Number]])</f>
        <v>Q/A/W/26/1305</v>
      </c>
      <c r="F1132" s="3" t="str">
        <v>El Reedy Shipping</v>
      </c>
      <c r="J1132" s="3" t="str">
        <v>Sarnia</v>
      </c>
    </row>
    <row r="1133">
      <c r="A1133" s="3">
        <v>45938</v>
      </c>
      <c r="B1133" s="3" t="str">
        <v>A:Addition</v>
      </c>
      <c r="C1133" s="3" t="str">
        <v>H:Hull</v>
      </c>
      <c r="D1133" s="3">
        <f>D1132+1</f>
        <v>1306</v>
      </c>
      <c r="E1133" s="3" t="str">
        <f>CONCAT("Q","/",LEFT(Table2[[#This Row],[Quotation Type]],1),"/", LEFT(Table2[[#This Row],[Branch]],1),"/", RIGHT(YEAR(TODAY()),2), "/",Table2[[#This Row],[Seq. Number]])</f>
        <v>Q/A/H/26/1306</v>
      </c>
      <c r="F1133" s="3" t="str">
        <v>El Reedy Shipping</v>
      </c>
      <c r="J1133" s="3" t="str">
        <v>Sarnia</v>
      </c>
    </row>
    <row r="1134">
      <c r="A1134" s="3">
        <v>45938</v>
      </c>
      <c r="B1134" s="3" t="str">
        <v>A:Addition</v>
      </c>
      <c r="C1134" s="3" t="str">
        <v>W:War</v>
      </c>
      <c r="D1134" s="3">
        <f>D1133+1</f>
        <v>1307</v>
      </c>
      <c r="E1134" s="3" t="str">
        <f>CONCAT("Q","/",LEFT(Table2[[#This Row],[Quotation Type]],1),"/", LEFT(Table2[[#This Row],[Branch]],1),"/", RIGHT(YEAR(TODAY()),2), "/",Table2[[#This Row],[Seq. Number]])</f>
        <v>Q/A/W/26/1307</v>
      </c>
      <c r="F1134" s="3" t="str">
        <v>El Reedy Shipping</v>
      </c>
      <c r="J1134" s="3" t="str">
        <v>Sarnia</v>
      </c>
    </row>
    <row r="1135">
      <c r="A1135" s="3">
        <v>45938</v>
      </c>
      <c r="B1135" s="3" t="str">
        <v>N:New Quotation</v>
      </c>
      <c r="C1135" s="3" t="str">
        <v>H:Hull</v>
      </c>
      <c r="D1135" s="3">
        <f>D1134+1</f>
        <v>1308</v>
      </c>
      <c r="E1135" s="3" t="str">
        <f>CONCAT("Q","/",LEFT(Table2[[#This Row],[Quotation Type]],1),"/", LEFT(Table2[[#This Row],[Branch]],1),"/", RIGHT(YEAR(TODAY()),2), "/",Table2[[#This Row],[Seq. Number]])</f>
        <v>Q/N/H/26/1308</v>
      </c>
      <c r="F1135" s="3" t="str">
        <v>Radias Marine</v>
      </c>
      <c r="G1135" s="3" t="str">
        <v>North Star 1</v>
      </c>
      <c r="I1135" s="3" t="str">
        <v>O/T</v>
      </c>
      <c r="J1135" s="3" t="str">
        <v>Newberry</v>
      </c>
    </row>
    <row r="1136">
      <c r="A1136" s="3">
        <v>45938</v>
      </c>
      <c r="B1136" s="3" t="str">
        <v>N:New Quotation</v>
      </c>
      <c r="C1136" s="3" t="str">
        <v>P:P&amp;I</v>
      </c>
      <c r="D1136" s="3">
        <f>D1135+1</f>
        <v>1309</v>
      </c>
      <c r="E1136" s="3" t="str">
        <f>CONCAT("Q","/",LEFT(Table2[[#This Row],[Quotation Type]],1),"/", LEFT(Table2[[#This Row],[Branch]],1),"/", RIGHT(YEAR(TODAY()),2), "/",Table2[[#This Row],[Seq. Number]])</f>
        <v>Q/N/P/26/1309</v>
      </c>
      <c r="F1136" s="3" t="str">
        <v xml:space="preserve">Access Marine </v>
      </c>
      <c r="G1136" s="3" t="str">
        <v>Clivia</v>
      </c>
      <c r="I1136" s="3" t="str">
        <v>GC</v>
      </c>
    </row>
    <row r="1137">
      <c r="A1137" s="3">
        <v>45939</v>
      </c>
      <c r="B1137" s="3" t="str">
        <v>N:New Quotation</v>
      </c>
      <c r="C1137" s="3" t="str">
        <v>H:Hull</v>
      </c>
      <c r="D1137" s="3">
        <f>D1136+1</f>
        <v>1310</v>
      </c>
      <c r="E1137" s="3" t="str">
        <f>CONCAT("Q","/",LEFT(Table2[[#This Row],[Quotation Type]],1),"/", LEFT(Table2[[#This Row],[Branch]],1),"/", RIGHT(YEAR(TODAY()),2), "/",Table2[[#This Row],[Seq. Number]])</f>
        <v>Q/N/H/26/1310</v>
      </c>
      <c r="G1137" s="3" t="str">
        <v>Maruti</v>
      </c>
      <c r="I1137" s="3" t="str">
        <v>O/T</v>
      </c>
      <c r="J1137" s="3" t="str">
        <v>CIB</v>
      </c>
    </row>
    <row r="1138">
      <c r="A1138" s="3">
        <v>45939</v>
      </c>
      <c r="B1138" s="3" t="str">
        <v>N:New Quotation</v>
      </c>
      <c r="C1138" s="3" t="str">
        <v>H:Hull</v>
      </c>
      <c r="D1138" s="3">
        <f>D1137+1</f>
        <v>1311</v>
      </c>
      <c r="E1138" s="3" t="str">
        <f>CONCAT("Q","/",LEFT(Table2[[#This Row],[Quotation Type]],1),"/", LEFT(Table2[[#This Row],[Branch]],1),"/", RIGHT(YEAR(TODAY()),2), "/",Table2[[#This Row],[Seq. Number]])</f>
        <v>Q/N/H/26/1311</v>
      </c>
      <c r="F1138" s="3" t="str">
        <v>AKMAR MARINE LTD</v>
      </c>
      <c r="G1138" s="3" t="str">
        <v>HATICE</v>
      </c>
      <c r="I1138" s="3" t="str">
        <v>GC</v>
      </c>
    </row>
    <row r="1139">
      <c r="A1139" s="3">
        <v>45939</v>
      </c>
      <c r="B1139" s="3" t="str">
        <v>N:New Quotation</v>
      </c>
      <c r="C1139" s="3" t="str">
        <v>P:P&amp;I</v>
      </c>
      <c r="D1139" s="3">
        <f>D1138+1</f>
        <v>1312</v>
      </c>
      <c r="E1139" s="3" t="str">
        <f>CONCAT("Q","/",LEFT(Table2[[#This Row],[Quotation Type]],1),"/", LEFT(Table2[[#This Row],[Branch]],1),"/", RIGHT(YEAR(TODAY()),2), "/",Table2[[#This Row],[Seq. Number]])</f>
        <v>Q/N/P/26/1312</v>
      </c>
      <c r="F1139" s="3" t="str">
        <v>AKMAR MARINE LTD</v>
      </c>
      <c r="G1139" s="3" t="str">
        <v>TOROS</v>
      </c>
      <c r="I1139" s="3" t="str">
        <v>BC</v>
      </c>
    </row>
    <row r="1140">
      <c r="A1140" s="3">
        <v>45939</v>
      </c>
      <c r="B1140" s="3" t="str">
        <v>N:New Quotation</v>
      </c>
      <c r="C1140" s="3" t="str">
        <v>H:Hull</v>
      </c>
      <c r="D1140" s="3">
        <f>D1139+1</f>
        <v>1313</v>
      </c>
      <c r="E1140" s="3" t="str">
        <f>CONCAT("Q","/",LEFT(Table2[[#This Row],[Quotation Type]],1),"/", LEFT(Table2[[#This Row],[Branch]],1),"/", RIGHT(YEAR(TODAY()),2), "/",Table2[[#This Row],[Seq. Number]])</f>
        <v>Q/N/H/26/1313</v>
      </c>
      <c r="F1140" s="3" t="str">
        <v>AKMAR MARINE LTD</v>
      </c>
      <c r="G1140" s="3" t="str">
        <v>TOROS &amp; HATICE</v>
      </c>
      <c r="I1140" s="3" t="str">
        <v>BC/GC</v>
      </c>
    </row>
    <row r="1141">
      <c r="A1141" s="3">
        <v>45939</v>
      </c>
      <c r="B1141" s="3" t="str">
        <v>N:New Quotation</v>
      </c>
      <c r="C1141" s="3" t="str">
        <v>P:P&amp;I</v>
      </c>
      <c r="D1141" s="3">
        <f>D1140+1</f>
        <v>1314</v>
      </c>
      <c r="E1141" s="3" t="str">
        <f>CONCAT("Q","/",LEFT(Table2[[#This Row],[Quotation Type]],1),"/", LEFT(Table2[[#This Row],[Branch]],1),"/", RIGHT(YEAR(TODAY()),2), "/",Table2[[#This Row],[Seq. Number]])</f>
        <v>Q/N/P/26/1314</v>
      </c>
      <c r="F1141" s="3" t="str">
        <v>Invictus Trading FZC</v>
      </c>
      <c r="G1141" s="3" t="str">
        <v>Firefly</v>
      </c>
      <c r="I1141" s="3" t="str">
        <v>Ro-Ro/ Lo-Lo container</v>
      </c>
      <c r="J1141" s="3" t="str">
        <v>BRB</v>
      </c>
    </row>
    <row r="1142">
      <c r="A1142" s="3">
        <v>45940</v>
      </c>
      <c r="B1142" s="3" t="str">
        <v>A:Addition</v>
      </c>
      <c r="C1142" s="3" t="str">
        <v>P:P&amp;I</v>
      </c>
      <c r="D1142" s="3">
        <f>D1141+1</f>
        <v>1315</v>
      </c>
      <c r="E1142" s="3" t="str">
        <f>CONCAT("Q","/",LEFT(Table2[[#This Row],[Quotation Type]],1),"/", LEFT(Table2[[#This Row],[Branch]],1),"/", RIGHT(YEAR(TODAY()),2), "/",Table2[[#This Row],[Seq. Number]])</f>
        <v>Q/A/P/26/1315</v>
      </c>
      <c r="G1142" s="3" t="str">
        <v>SCII</v>
      </c>
      <c r="I1142" s="3" t="str">
        <v>Cement</v>
      </c>
      <c r="J1142" s="3" t="str">
        <v>Sarnia</v>
      </c>
    </row>
    <row r="1143">
      <c r="A1143" s="3">
        <v>45940</v>
      </c>
      <c r="B1143" s="3" t="str">
        <v>A:Addition</v>
      </c>
      <c r="C1143" s="3" t="str">
        <v>P:P&amp;I</v>
      </c>
      <c r="D1143" s="3">
        <f>D1142+1</f>
        <v>1316</v>
      </c>
      <c r="E1143" s="3" t="str">
        <f>CONCAT("Q","/",LEFT(Table2[[#This Row],[Quotation Type]],1),"/", LEFT(Table2[[#This Row],[Branch]],1),"/", RIGHT(YEAR(TODAY()),2), "/",Table2[[#This Row],[Seq. Number]])</f>
        <v>Q/A/P/26/1316</v>
      </c>
      <c r="G1143" s="3" t="str">
        <v>Lina F</v>
      </c>
      <c r="I1143" s="3" t="str">
        <v>BC</v>
      </c>
      <c r="J1143" s="3" t="str">
        <v>Brandenburg</v>
      </c>
    </row>
    <row r="1144">
      <c r="A1144" s="3">
        <v>45943</v>
      </c>
      <c r="B1144" s="3" t="str">
        <v>N:New Quotation</v>
      </c>
      <c r="C1144" s="3" t="str">
        <v>P:P&amp;I</v>
      </c>
      <c r="D1144" s="3">
        <f>D1143+1</f>
        <v>1317</v>
      </c>
      <c r="E1144" s="3" t="str">
        <f>CONCAT("Q","/",LEFT(Table2[[#This Row],[Quotation Type]],1),"/", LEFT(Table2[[#This Row],[Branch]],1),"/", RIGHT(YEAR(TODAY()),2), "/",Table2[[#This Row],[Seq. Number]])</f>
        <v>Q/N/P/26/1317</v>
      </c>
      <c r="G1144" s="3" t="str">
        <v>Prima</v>
      </c>
      <c r="I1144" s="3" t="str">
        <v>GC</v>
      </c>
      <c r="J1144" s="3" t="str">
        <v>Lockton Omni</v>
      </c>
    </row>
    <row r="1145">
      <c r="A1145" s="3">
        <v>45944</v>
      </c>
      <c r="B1145" s="3" t="str">
        <v>R:Renewal</v>
      </c>
      <c r="C1145" s="3" t="str">
        <v>H:Hull</v>
      </c>
      <c r="D1145" s="3">
        <f>D1144+1</f>
        <v>1318</v>
      </c>
      <c r="E1145" s="3" t="str">
        <f>CONCAT("Q","/",LEFT(Table2[[#This Row],[Quotation Type]],1),"/", LEFT(Table2[[#This Row],[Branch]],1),"/", RIGHT(YEAR(TODAY()),2), "/",Table2[[#This Row],[Seq. Number]])</f>
        <v>Q/R/H/26/1318</v>
      </c>
      <c r="G1145" s="3" t="str">
        <v>Yosor</v>
      </c>
      <c r="I1145" s="3" t="str">
        <v>MLV</v>
      </c>
      <c r="J1145" s="3" t="str">
        <v>Direct</v>
      </c>
    </row>
    <row r="1146">
      <c r="A1146" s="3">
        <v>45944</v>
      </c>
      <c r="B1146" s="3" t="str">
        <v>R:Renewal</v>
      </c>
      <c r="C1146" s="3" t="str">
        <v>P:P&amp;I</v>
      </c>
      <c r="D1146" s="3">
        <f>D1145+1</f>
        <v>1319</v>
      </c>
      <c r="E1146" s="3" t="str">
        <f>CONCAT("Q","/",LEFT(Table2[[#This Row],[Quotation Type]],1),"/", LEFT(Table2[[#This Row],[Branch]],1),"/", RIGHT(YEAR(TODAY()),2), "/",Table2[[#This Row],[Seq. Number]])</f>
        <v>Q/R/P/26/1319</v>
      </c>
      <c r="G1146" s="3" t="str">
        <v>Yosor</v>
      </c>
      <c r="I1146" s="3" t="str">
        <v>MLV</v>
      </c>
      <c r="J1146" s="3" t="str">
        <v>Direct</v>
      </c>
    </row>
    <row r="1147">
      <c r="A1147" s="3">
        <v>45944</v>
      </c>
      <c r="B1147" s="3" t="str">
        <v>R:Renewal</v>
      </c>
      <c r="C1147" s="3" t="str">
        <v>H:Hull</v>
      </c>
      <c r="D1147" s="3">
        <f>D1146+1</f>
        <v>1320</v>
      </c>
      <c r="E1147" s="3" t="str">
        <f>CONCAT("Q","/",LEFT(Table2[[#This Row],[Quotation Type]],1),"/", LEFT(Table2[[#This Row],[Branch]],1),"/", RIGHT(YEAR(TODAY()),2), "/",Table2[[#This Row],[Seq. Number]])</f>
        <v>Q/R/H/26/1320</v>
      </c>
      <c r="G1147" s="3" t="str">
        <v>Aboudi D</v>
      </c>
      <c r="I1147" s="3" t="str">
        <v>GC</v>
      </c>
      <c r="J1147" s="3" t="str">
        <v>Lockton Omni</v>
      </c>
    </row>
    <row r="1148">
      <c r="A1148" s="3">
        <v>45944</v>
      </c>
      <c r="B1148" s="3" t="str">
        <v>R:Renewal</v>
      </c>
      <c r="C1148" s="3" t="str">
        <v>H:Hull</v>
      </c>
      <c r="D1148" s="3">
        <f>D1147+1</f>
        <v>1321</v>
      </c>
      <c r="E1148" s="3" t="str">
        <f>CONCAT("Q","/",LEFT(Table2[[#This Row],[Quotation Type]],1),"/", LEFT(Table2[[#This Row],[Branch]],1),"/", RIGHT(YEAR(TODAY()),2), "/",Table2[[#This Row],[Seq. Number]])</f>
        <v>Q/R/H/26/1321</v>
      </c>
      <c r="G1148" s="3" t="str">
        <v>Mayar</v>
      </c>
      <c r="I1148" s="3" t="str">
        <v>MLV</v>
      </c>
      <c r="J1148" s="3" t="str">
        <v>Alfa Marine</v>
      </c>
    </row>
    <row r="1149">
      <c r="A1149" s="3">
        <v>45944</v>
      </c>
      <c r="B1149" s="3" t="str">
        <v>R:Renewal</v>
      </c>
      <c r="C1149" s="3" t="str">
        <v>P:P&amp;I</v>
      </c>
      <c r="D1149" s="3">
        <f>D1148+1</f>
        <v>1322</v>
      </c>
      <c r="E1149" s="3" t="str">
        <f>CONCAT("Q","/",LEFT(Table2[[#This Row],[Quotation Type]],1),"/", LEFT(Table2[[#This Row],[Branch]],1),"/", RIGHT(YEAR(TODAY()),2), "/",Table2[[#This Row],[Seq. Number]])</f>
        <v>Q/R/P/26/1322</v>
      </c>
      <c r="G1149" s="3" t="str">
        <v>Mayar</v>
      </c>
      <c r="I1149" s="3" t="str">
        <v>MLV</v>
      </c>
      <c r="J1149" s="3" t="str">
        <v>Alfa Marine</v>
      </c>
    </row>
    <row r="1150">
      <c r="A1150" s="3">
        <v>45944</v>
      </c>
      <c r="B1150" s="3" t="str">
        <v>R:Renewal</v>
      </c>
      <c r="C1150" s="3" t="str">
        <v>P:P&amp;I</v>
      </c>
      <c r="D1150" s="3">
        <f>D1149+1</f>
        <v>1323</v>
      </c>
      <c r="E1150" s="3" t="str">
        <f>CONCAT("Q","/",LEFT(Table2[[#This Row],[Quotation Type]],1),"/", LEFT(Table2[[#This Row],[Branch]],1),"/", RIGHT(YEAR(TODAY()),2), "/",Table2[[#This Row],[Seq. Number]])</f>
        <v>Q/R/P/26/1323</v>
      </c>
      <c r="G1150" s="3" t="str">
        <v>Express M</v>
      </c>
      <c r="I1150" s="3" t="str">
        <v>MLV</v>
      </c>
      <c r="J1150" s="3" t="str">
        <v>Al Mahmoud</v>
      </c>
    </row>
    <row r="1151">
      <c r="A1151" s="3">
        <v>45944</v>
      </c>
      <c r="B1151" s="3" t="str">
        <v>R:Renewal</v>
      </c>
      <c r="C1151" s="3" t="str">
        <v>H:Hull</v>
      </c>
      <c r="D1151" s="3">
        <f>D1150+1</f>
        <v>1324</v>
      </c>
      <c r="E1151" s="3" t="str">
        <f>CONCAT("Q","/",LEFT(Table2[[#This Row],[Quotation Type]],1),"/", LEFT(Table2[[#This Row],[Branch]],1),"/", RIGHT(YEAR(TODAY()),2), "/",Table2[[#This Row],[Seq. Number]])</f>
        <v>Q/R/H/26/1324</v>
      </c>
      <c r="G1151" s="3" t="str">
        <v>Express M</v>
      </c>
      <c r="I1151" s="3" t="str">
        <v>MLV</v>
      </c>
      <c r="J1151" s="3" t="str">
        <v>Al Mahmoud</v>
      </c>
    </row>
    <row r="1152">
      <c r="A1152" s="3">
        <v>45944</v>
      </c>
      <c r="B1152" s="3" t="str">
        <v>N:New Quotation</v>
      </c>
      <c r="C1152" s="3" t="str">
        <v>H:Hull</v>
      </c>
      <c r="D1152" s="3">
        <f>D1151+1</f>
        <v>1325</v>
      </c>
      <c r="E1152" s="3" t="str">
        <f>CONCAT("Q","/",LEFT(Table2[[#This Row],[Quotation Type]],1),"/", LEFT(Table2[[#This Row],[Branch]],1),"/", RIGHT(YEAR(TODAY()),2), "/",Table2[[#This Row],[Seq. Number]])</f>
        <v>Q/N/H/26/1325</v>
      </c>
      <c r="G1152" s="3" t="str">
        <v>GNP Dragon</v>
      </c>
      <c r="I1152" s="3" t="str">
        <v>O/T</v>
      </c>
      <c r="J1152" s="3" t="str">
        <v>Mesco</v>
      </c>
    </row>
    <row r="1153">
      <c r="A1153" s="3">
        <v>45944</v>
      </c>
      <c r="B1153" s="3" t="str">
        <v>R:Renewal</v>
      </c>
      <c r="C1153" s="3" t="str">
        <v>H:Hull</v>
      </c>
      <c r="D1153" s="3">
        <f>D1152+1</f>
        <v>1326</v>
      </c>
      <c r="E1153" s="3" t="str">
        <f>CONCAT("Q","/",LEFT(Table2[[#This Row],[Quotation Type]],1),"/", LEFT(Table2[[#This Row],[Branch]],1),"/", RIGHT(YEAR(TODAY()),2), "/",Table2[[#This Row],[Seq. Number]])</f>
        <v>Q/R/H/26/1326</v>
      </c>
      <c r="G1153" s="3" t="str">
        <v>GF Anwar</v>
      </c>
      <c r="I1153" s="3" t="str">
        <v>BC</v>
      </c>
      <c r="J1153" s="3" t="str">
        <v>SSS</v>
      </c>
    </row>
    <row r="1154">
      <c r="A1154" s="3">
        <v>45945</v>
      </c>
      <c r="B1154" s="3" t="str">
        <v>N:New Quotation</v>
      </c>
      <c r="C1154" s="3" t="str">
        <v>H:Hull</v>
      </c>
      <c r="D1154" s="3">
        <f>D1153+1</f>
        <v>1327</v>
      </c>
      <c r="E1154" s="3" t="str">
        <f>CONCAT("Q","/",LEFT(Table2[[#This Row],[Quotation Type]],1),"/", LEFT(Table2[[#This Row],[Branch]],1),"/", RIGHT(YEAR(TODAY()),2), "/",Table2[[#This Row],[Seq. Number]])</f>
        <v>Q/N/H/26/1327</v>
      </c>
      <c r="G1154" s="3" t="str">
        <v>Diana</v>
      </c>
      <c r="I1154" s="3" t="str">
        <v>O/T</v>
      </c>
      <c r="J1154" s="3" t="str">
        <v>IPIC</v>
      </c>
    </row>
    <row r="1155">
      <c r="A1155" s="3">
        <v>45945</v>
      </c>
      <c r="B1155" s="3" t="str">
        <v>A:Addition</v>
      </c>
      <c r="C1155" s="3" t="str">
        <v>H:Hull</v>
      </c>
      <c r="D1155" s="3">
        <f>D1154+1</f>
        <v>1328</v>
      </c>
      <c r="E1155" s="3" t="str">
        <f>CONCAT("Q","/",LEFT(Table2[[#This Row],[Quotation Type]],1),"/", LEFT(Table2[[#This Row],[Branch]],1),"/", RIGHT(YEAR(TODAY()),2), "/",Table2[[#This Row],[Seq. Number]])</f>
        <v>Q/A/H/26/1328</v>
      </c>
      <c r="G1155" s="3" t="str">
        <v>Naya Falcon</v>
      </c>
      <c r="I1155" s="3" t="str">
        <v>GC</v>
      </c>
      <c r="J1155" s="3" t="str">
        <v>Kuzey</v>
      </c>
    </row>
    <row r="1156">
      <c r="A1156" s="3">
        <v>45946</v>
      </c>
      <c r="B1156" s="3" t="str">
        <v>R:Renewal</v>
      </c>
      <c r="C1156" s="3" t="str">
        <v>H:Hull</v>
      </c>
      <c r="D1156" s="3">
        <f>D1155+1</f>
        <v>1329</v>
      </c>
      <c r="E1156" s="3" t="str">
        <f>CONCAT("Q","/",LEFT(Table2[[#This Row],[Quotation Type]],1),"/", LEFT(Table2[[#This Row],[Branch]],1),"/", RIGHT(YEAR(TODAY()),2), "/",Table2[[#This Row],[Seq. Number]])</f>
        <v>Q/R/H/26/1329</v>
      </c>
      <c r="G1156" s="3" t="str">
        <v>Dragon</v>
      </c>
      <c r="I1156" s="3" t="str">
        <v>MLV</v>
      </c>
      <c r="J1156" s="3" t="str">
        <v>Direct</v>
      </c>
    </row>
    <row r="1157">
      <c r="A1157" s="3">
        <v>45946</v>
      </c>
      <c r="B1157" s="3" t="str">
        <v>R:Renewal</v>
      </c>
      <c r="C1157" s="3" t="str">
        <v>P:P&amp;I</v>
      </c>
      <c r="D1157" s="3">
        <f>D1156+1</f>
        <v>1330</v>
      </c>
      <c r="E1157" s="3" t="str">
        <f>CONCAT("Q","/",LEFT(Table2[[#This Row],[Quotation Type]],1),"/", LEFT(Table2[[#This Row],[Branch]],1),"/", RIGHT(YEAR(TODAY()),2), "/",Table2[[#This Row],[Seq. Number]])</f>
        <v>Q/R/P/26/1330</v>
      </c>
      <c r="G1157" s="3" t="str">
        <v>Dragon</v>
      </c>
      <c r="I1157" s="3" t="str">
        <v>MLV</v>
      </c>
      <c r="J1157" s="3" t="str">
        <v>Direct</v>
      </c>
    </row>
    <row r="1158">
      <c r="A1158" s="3">
        <v>45946</v>
      </c>
      <c r="B1158" s="3" t="str">
        <v>R:Renewal</v>
      </c>
      <c r="C1158" s="3" t="str">
        <v>W:War</v>
      </c>
      <c r="D1158" s="3">
        <f>D1157+1</f>
        <v>1331</v>
      </c>
      <c r="E1158" s="3" t="str">
        <f>CONCAT("Q","/",LEFT(Table2[[#This Row],[Quotation Type]],1),"/", LEFT(Table2[[#This Row],[Branch]],1),"/", RIGHT(YEAR(TODAY()),2), "/",Table2[[#This Row],[Seq. Number]])</f>
        <v>Q/R/W/26/1331</v>
      </c>
      <c r="G1158" s="3" t="str">
        <v>Dragon</v>
      </c>
      <c r="I1158" s="3" t="str">
        <v>MLV</v>
      </c>
      <c r="J1158" s="3" t="str">
        <v>Direct</v>
      </c>
    </row>
    <row r="1159">
      <c r="A1159" s="3">
        <v>45947</v>
      </c>
      <c r="B1159" s="3" t="str">
        <v>N:New Quotation</v>
      </c>
      <c r="C1159" s="3" t="str">
        <v>P:P&amp;I</v>
      </c>
      <c r="D1159" s="3">
        <f>D1158+1</f>
        <v>1332</v>
      </c>
      <c r="E1159" s="3" t="str">
        <f>CONCAT("Q","/",LEFT(Table2[[#This Row],[Quotation Type]],1),"/", LEFT(Table2[[#This Row],[Branch]],1),"/", RIGHT(YEAR(TODAY()),2), "/",Table2[[#This Row],[Seq. Number]])</f>
        <v>Q/N/P/26/1332</v>
      </c>
      <c r="G1159" s="3" t="str">
        <v>Altin</v>
      </c>
      <c r="I1159" s="3" t="str">
        <v>GC</v>
      </c>
      <c r="J1159" s="3" t="str">
        <v>Profinsure</v>
      </c>
    </row>
    <row r="1160">
      <c r="A1160" s="3">
        <v>45947</v>
      </c>
      <c r="B1160" s="3" t="str">
        <v>N:New Quotation</v>
      </c>
      <c r="C1160" s="3" t="str">
        <v>P:P&amp;I</v>
      </c>
      <c r="D1160" s="3">
        <f>D1159+1</f>
        <v>1333</v>
      </c>
      <c r="E1160" s="3" t="str">
        <f>CONCAT("Q","/",LEFT(Table2[[#This Row],[Quotation Type]],1),"/", LEFT(Table2[[#This Row],[Branch]],1),"/", RIGHT(YEAR(TODAY()),2), "/",Table2[[#This Row],[Seq. Number]])</f>
        <v>Q/N/P/26/1333</v>
      </c>
      <c r="G1160" s="3" t="str">
        <v>Moukhtar-1</v>
      </c>
      <c r="I1160" s="3" t="str">
        <v>GC</v>
      </c>
      <c r="J1160" s="3" t="str">
        <v>Profinsure</v>
      </c>
    </row>
    <row r="1161">
      <c r="A1161" s="3">
        <v>45947</v>
      </c>
      <c r="B1161" s="3" t="str">
        <v>N:New Quotation</v>
      </c>
      <c r="C1161" s="3" t="str">
        <v>P:P&amp;I</v>
      </c>
      <c r="D1161" s="3">
        <f>D1160+1</f>
        <v>1334</v>
      </c>
      <c r="E1161" s="3" t="str">
        <f>CONCAT("Q","/",LEFT(Table2[[#This Row],[Quotation Type]],1),"/", LEFT(Table2[[#This Row],[Branch]],1),"/", RIGHT(YEAR(TODAY()),2), "/",Table2[[#This Row],[Seq. Number]])</f>
        <v>Q/N/P/26/1334</v>
      </c>
      <c r="G1161" s="3" t="str">
        <v>Lady Gona</v>
      </c>
      <c r="I1161" s="3" t="str">
        <v>GC</v>
      </c>
      <c r="J1161" s="3" t="str">
        <v>Profinsure</v>
      </c>
    </row>
    <row r="1162">
      <c r="A1162" s="3">
        <v>45947</v>
      </c>
      <c r="B1162" s="3" t="str">
        <v>N:New Quotation</v>
      </c>
      <c r="C1162" s="3" t="str">
        <v>P:P&amp;I</v>
      </c>
      <c r="D1162" s="3">
        <f>D1161+1</f>
        <v>1335</v>
      </c>
      <c r="E1162" s="3" t="str">
        <f>CONCAT("Q","/",LEFT(Table2[[#This Row],[Quotation Type]],1),"/", LEFT(Table2[[#This Row],[Branch]],1),"/", RIGHT(YEAR(TODAY()),2), "/",Table2[[#This Row],[Seq. Number]])</f>
        <v>Q/N/P/26/1335</v>
      </c>
      <c r="G1162" s="3" t="str">
        <v>Hayat</v>
      </c>
      <c r="I1162" s="3" t="str">
        <v>GC</v>
      </c>
      <c r="J1162" s="3" t="str">
        <v>KM&amp;D</v>
      </c>
    </row>
    <row r="1163">
      <c r="A1163" s="3">
        <v>45947</v>
      </c>
      <c r="B1163" s="3" t="str">
        <v>N:New Quotation</v>
      </c>
      <c r="C1163" s="3" t="str">
        <v>H:Hull</v>
      </c>
      <c r="D1163" s="3">
        <f>D1162+1</f>
        <v>1336</v>
      </c>
      <c r="E1163" s="3" t="str">
        <f>CONCAT("Q","/",LEFT(Table2[[#This Row],[Quotation Type]],1),"/", LEFT(Table2[[#This Row],[Branch]],1),"/", RIGHT(YEAR(TODAY()),2), "/",Table2[[#This Row],[Seq. Number]])</f>
        <v>Q/N/H/26/1336</v>
      </c>
      <c r="G1163" s="3" t="str">
        <v>Hayat</v>
      </c>
      <c r="I1163" s="3" t="str">
        <v>GC</v>
      </c>
      <c r="J1163" s="3" t="str">
        <v>KM&amp;D</v>
      </c>
    </row>
    <row r="1164">
      <c r="A1164" s="3">
        <v>45947</v>
      </c>
      <c r="B1164" s="3" t="str">
        <v>R:Renewal</v>
      </c>
      <c r="C1164" s="3" t="str">
        <v>P:P&amp;I</v>
      </c>
      <c r="D1164" s="3">
        <f>D1163+1</f>
        <v>1337</v>
      </c>
      <c r="E1164" s="3" t="str">
        <f>CONCAT("Q","/",LEFT(Table2[[#This Row],[Quotation Type]],1),"/", LEFT(Table2[[#This Row],[Branch]],1),"/", RIGHT(YEAR(TODAY()),2), "/",Table2[[#This Row],[Seq. Number]])</f>
        <v>Q/R/P/26/1337</v>
      </c>
      <c r="G1164" s="3" t="str">
        <v>Osman 23-24</v>
      </c>
      <c r="I1164" s="3" t="str">
        <v>Barge</v>
      </c>
      <c r="J1164" s="3" t="str">
        <v>Mesco</v>
      </c>
    </row>
    <row r="1165">
      <c r="A1165" s="3">
        <v>45947</v>
      </c>
      <c r="B1165" s="3" t="str">
        <v>A:Addition</v>
      </c>
      <c r="C1165" s="3" t="str">
        <v>P:P&amp;I</v>
      </c>
      <c r="D1165" s="3">
        <f>D1164+1</f>
        <v>1338</v>
      </c>
      <c r="E1165" s="3" t="str">
        <f>CONCAT("Q","/",LEFT(Table2[[#This Row],[Quotation Type]],1),"/", LEFT(Table2[[#This Row],[Branch]],1),"/", RIGHT(YEAR(TODAY()),2), "/",Table2[[#This Row],[Seq. Number]])</f>
        <v>Q/A/P/26/1338</v>
      </c>
      <c r="F1165" s="3" t="str">
        <v>Blue Bay</v>
      </c>
      <c r="G1165" s="3" t="str">
        <v>Mar de Cortes</v>
      </c>
      <c r="I1165" s="3" t="str">
        <v>GC</v>
      </c>
      <c r="J1165" s="3" t="str">
        <v>Lockton Omni</v>
      </c>
    </row>
    <row r="1166">
      <c r="A1166" s="3">
        <v>45947</v>
      </c>
      <c r="B1166" s="3" t="str">
        <v>A:Addition</v>
      </c>
      <c r="C1166" s="3" t="str">
        <v>P:P&amp;I</v>
      </c>
      <c r="D1166" s="3">
        <f>D1165+1</f>
        <v>1339</v>
      </c>
      <c r="E1166" s="3" t="str">
        <f>CONCAT("Q","/",LEFT(Table2[[#This Row],[Quotation Type]],1),"/", LEFT(Table2[[#This Row],[Branch]],1),"/", RIGHT(YEAR(TODAY()),2), "/",Table2[[#This Row],[Seq. Number]])</f>
        <v>Q/A/P/26/1339</v>
      </c>
      <c r="F1166" s="3" t="str">
        <v>Blue Bay</v>
      </c>
      <c r="G1166" s="3" t="str">
        <v>Mar de Cortes</v>
      </c>
      <c r="I1166" s="3" t="str">
        <v>GC</v>
      </c>
      <c r="J1166" s="3" t="str">
        <v>Lockton Omni</v>
      </c>
    </row>
    <row r="1167">
      <c r="A1167" s="3">
        <v>45950</v>
      </c>
      <c r="B1167" s="3" t="str">
        <v>N:New Quotation</v>
      </c>
      <c r="C1167" s="3" t="str">
        <v>P:P&amp;I</v>
      </c>
      <c r="D1167" s="3">
        <f>D1166+1</f>
        <v>1340</v>
      </c>
      <c r="E1167" s="3" t="str">
        <f>CONCAT("Q","/",LEFT(Table2[[#This Row],[Quotation Type]],1),"/", LEFT(Table2[[#This Row],[Branch]],1),"/", RIGHT(YEAR(TODAY()),2), "/",Table2[[#This Row],[Seq. Number]])</f>
        <v>Q/N/P/26/1340</v>
      </c>
      <c r="G1167" s="3" t="str">
        <v>Allianca Del Plata</v>
      </c>
      <c r="I1167" s="3" t="str">
        <v>GC</v>
      </c>
      <c r="J1167" s="3" t="str">
        <v>SSS</v>
      </c>
    </row>
    <row r="1168">
      <c r="A1168" s="3">
        <v>45950</v>
      </c>
      <c r="B1168" s="3" t="str">
        <v>N:New Quotation</v>
      </c>
      <c r="C1168" s="3" t="str">
        <v>H:Hull</v>
      </c>
      <c r="D1168" s="3">
        <f>D1167+1</f>
        <v>1341</v>
      </c>
      <c r="E1168" s="3" t="str">
        <f>CONCAT("Q","/",LEFT(Table2[[#This Row],[Quotation Type]],1),"/", LEFT(Table2[[#This Row],[Branch]],1),"/", RIGHT(YEAR(TODAY()),2), "/",Table2[[#This Row],[Seq. Number]])</f>
        <v>Q/N/H/26/1341</v>
      </c>
      <c r="G1168" s="3" t="str">
        <v>Allianca Del Plata</v>
      </c>
      <c r="I1168" s="3" t="str">
        <v>GC</v>
      </c>
      <c r="J1168" s="3" t="str">
        <v>SSS</v>
      </c>
    </row>
    <row r="1169">
      <c r="A1169" s="3">
        <v>45951</v>
      </c>
      <c r="B1169" s="3" t="str">
        <v>N:New Quotation</v>
      </c>
      <c r="C1169" s="3" t="str">
        <v>P:P&amp;I</v>
      </c>
      <c r="D1169" s="3">
        <f>D1168+1</f>
        <v>1342</v>
      </c>
      <c r="E1169" s="3" t="str">
        <f>CONCAT("Q","/",LEFT(Table2[[#This Row],[Quotation Type]],1),"/", LEFT(Table2[[#This Row],[Branch]],1),"/", RIGHT(YEAR(TODAY()),2), "/",Table2[[#This Row],[Seq. Number]])</f>
        <v>Q/N/P/26/1342</v>
      </c>
      <c r="G1169" s="3" t="str">
        <v>Maris</v>
      </c>
      <c r="I1169" s="3" t="str">
        <v>GC</v>
      </c>
      <c r="J1169" s="3" t="str">
        <v>Profinsure</v>
      </c>
    </row>
    <row r="1170">
      <c r="A1170" s="3">
        <v>45951</v>
      </c>
      <c r="B1170" s="3" t="str">
        <v>R:Renewal</v>
      </c>
      <c r="C1170" s="3" t="str">
        <v>H:Hull</v>
      </c>
      <c r="D1170" s="3">
        <f>D1169+1</f>
        <v>1343</v>
      </c>
      <c r="E1170" s="3" t="str">
        <f>CONCAT("Q","/",LEFT(Table2[[#This Row],[Quotation Type]],1),"/", LEFT(Table2[[#This Row],[Branch]],1),"/", RIGHT(YEAR(TODAY()),2), "/",Table2[[#This Row],[Seq. Number]])</f>
        <v>Q/R/H/26/1343</v>
      </c>
      <c r="G1170" s="3" t="str">
        <v>MN Talos</v>
      </c>
      <c r="I1170" s="3" t="str">
        <v>GC</v>
      </c>
      <c r="J1170" s="3" t="str">
        <v>SSS</v>
      </c>
    </row>
    <row r="1171">
      <c r="A1171" s="3">
        <v>45951</v>
      </c>
      <c r="B1171" s="3" t="str">
        <v>R:Renewal</v>
      </c>
      <c r="C1171" s="3" t="str">
        <v>W:War</v>
      </c>
      <c r="D1171" s="3">
        <f>D1170+1</f>
        <v>1344</v>
      </c>
      <c r="E1171" s="3" t="str">
        <f>CONCAT("Q","/",LEFT(Table2[[#This Row],[Quotation Type]],1),"/", LEFT(Table2[[#This Row],[Branch]],1),"/", RIGHT(YEAR(TODAY()),2), "/",Table2[[#This Row],[Seq. Number]])</f>
        <v>Q/R/W/26/1344</v>
      </c>
      <c r="G1171" s="3" t="str">
        <v>MN Talos</v>
      </c>
      <c r="I1171" s="3" t="str">
        <v>GC</v>
      </c>
      <c r="J1171" s="3" t="str">
        <v>SSS</v>
      </c>
    </row>
    <row r="1172">
      <c r="A1172" s="3">
        <v>45952</v>
      </c>
      <c r="B1172" s="3" t="str">
        <v>R:Renewal</v>
      </c>
      <c r="C1172" s="3" t="str">
        <v>H:Hull</v>
      </c>
      <c r="D1172" s="3">
        <f>D1171+1</f>
        <v>1345</v>
      </c>
      <c r="E1172" s="3" t="str">
        <f>CONCAT("Q","/",LEFT(Table2[[#This Row],[Quotation Type]],1),"/", LEFT(Table2[[#This Row],[Branch]],1),"/", RIGHT(YEAR(TODAY()),2), "/",Table2[[#This Row],[Seq. Number]])</f>
        <v>Q/R/H/26/1345</v>
      </c>
      <c r="F1172" s="3" t="str">
        <v>Talia Shipping</v>
      </c>
      <c r="I1172" s="3" t="str">
        <v>MLV</v>
      </c>
      <c r="J1172" s="3" t="str">
        <v>Direct</v>
      </c>
    </row>
    <row r="1173">
      <c r="A1173" s="3">
        <v>45952</v>
      </c>
      <c r="B1173" s="3" t="str">
        <v>R:Renewal</v>
      </c>
      <c r="C1173" s="3" t="str">
        <v>P:P&amp;I</v>
      </c>
      <c r="D1173" s="3">
        <f>D1172+1</f>
        <v>1346</v>
      </c>
      <c r="E1173" s="3" t="str">
        <f>CONCAT("Q","/",LEFT(Table2[[#This Row],[Quotation Type]],1),"/", LEFT(Table2[[#This Row],[Branch]],1),"/", RIGHT(YEAR(TODAY()),2), "/",Table2[[#This Row],[Seq. Number]])</f>
        <v>Q/R/P/26/1346</v>
      </c>
      <c r="F1173" s="3" t="str">
        <v>Talia Shipping</v>
      </c>
      <c r="I1173" s="3" t="str">
        <v>MLV</v>
      </c>
      <c r="J1173" s="3" t="str">
        <v>Direct</v>
      </c>
    </row>
    <row r="1174">
      <c r="A1174" s="3">
        <v>45952</v>
      </c>
      <c r="B1174" s="3" t="str">
        <v>R:Renewal</v>
      </c>
      <c r="C1174" s="3" t="str">
        <v>W:War</v>
      </c>
      <c r="D1174" s="3">
        <f>D1173+1</f>
        <v>1347</v>
      </c>
      <c r="E1174" s="3" t="str">
        <f>CONCAT("Q","/",LEFT(Table2[[#This Row],[Quotation Type]],1),"/", LEFT(Table2[[#This Row],[Branch]],1),"/", RIGHT(YEAR(TODAY()),2), "/",Table2[[#This Row],[Seq. Number]])</f>
        <v>Q/R/W/26/1347</v>
      </c>
      <c r="F1174" s="3" t="str">
        <v>Talia Shipping</v>
      </c>
      <c r="I1174" s="3" t="str">
        <v>MLV</v>
      </c>
      <c r="J1174" s="3" t="str">
        <v>Direct</v>
      </c>
    </row>
    <row r="1175">
      <c r="A1175" s="3">
        <v>45952</v>
      </c>
      <c r="B1175" s="3" t="str">
        <v>N:New Quotation</v>
      </c>
      <c r="C1175" s="3" t="str">
        <v>H:Hull</v>
      </c>
      <c r="D1175" s="3">
        <f>D1174+1</f>
        <v>1348</v>
      </c>
      <c r="E1175" s="3" t="str">
        <f>CONCAT("Q","/",LEFT(Table2[[#This Row],[Quotation Type]],1),"/", LEFT(Table2[[#This Row],[Branch]],1),"/", RIGHT(YEAR(TODAY()),2), "/",Table2[[#This Row],[Seq. Number]])</f>
        <v>Q/N/H/26/1348</v>
      </c>
      <c r="G1175" s="3" t="str">
        <v>Hatice Ana</v>
      </c>
      <c r="I1175" s="3" t="str">
        <v>GC</v>
      </c>
      <c r="J1175" s="3" t="str">
        <v>Observator</v>
      </c>
    </row>
    <row r="1176">
      <c r="A1176" s="3">
        <v>45952</v>
      </c>
      <c r="B1176" s="3" t="str">
        <v>N:New Quotation</v>
      </c>
      <c r="C1176" s="3" t="str">
        <v>P:P&amp;I</v>
      </c>
      <c r="D1176" s="3">
        <f>D1175+1</f>
        <v>1349</v>
      </c>
      <c r="E1176" s="3" t="str">
        <f>CONCAT("Q","/",LEFT(Table2[[#This Row],[Quotation Type]],1),"/", LEFT(Table2[[#This Row],[Branch]],1),"/", RIGHT(YEAR(TODAY()),2), "/",Table2[[#This Row],[Seq. Number]])</f>
        <v>Q/N/P/26/1349</v>
      </c>
      <c r="G1176" s="3" t="str">
        <v>Hatice Ana</v>
      </c>
      <c r="I1176" s="3" t="str">
        <v>GC</v>
      </c>
      <c r="J1176" s="3" t="str">
        <v>Observator</v>
      </c>
    </row>
    <row r="1177">
      <c r="A1177" s="3">
        <v>45952</v>
      </c>
      <c r="B1177" s="3" t="str">
        <v>N:New Quotation</v>
      </c>
      <c r="C1177" s="3" t="str">
        <v>H:Hull</v>
      </c>
      <c r="D1177" s="3">
        <f>D1176+1</f>
        <v>1350</v>
      </c>
      <c r="E1177" s="3" t="str">
        <f>CONCAT("Q","/",LEFT(Table2[[#This Row],[Quotation Type]],1),"/", LEFT(Table2[[#This Row],[Branch]],1),"/", RIGHT(YEAR(TODAY()),2), "/",Table2[[#This Row],[Seq. Number]])</f>
        <v>Q/N/H/26/1350</v>
      </c>
      <c r="G1177" s="3" t="str">
        <v>Toros</v>
      </c>
      <c r="I1177" s="3" t="str">
        <v>GC</v>
      </c>
      <c r="J1177" s="3" t="str">
        <v>Observator</v>
      </c>
    </row>
    <row r="1178">
      <c r="A1178" s="3">
        <v>45952</v>
      </c>
      <c r="B1178" s="3" t="str">
        <v>N:New Quotation</v>
      </c>
      <c r="C1178" s="3" t="str">
        <v>P:P&amp;I</v>
      </c>
      <c r="D1178" s="3">
        <f>D1177+1</f>
        <v>1351</v>
      </c>
      <c r="E1178" s="3" t="str">
        <f>CONCAT("Q","/",LEFT(Table2[[#This Row],[Quotation Type]],1),"/", LEFT(Table2[[#This Row],[Branch]],1),"/", RIGHT(YEAR(TODAY()),2), "/",Table2[[#This Row],[Seq. Number]])</f>
        <v>Q/N/P/26/1351</v>
      </c>
      <c r="G1178" s="3" t="str">
        <v>Toros</v>
      </c>
      <c r="I1178" s="3" t="str">
        <v>GC</v>
      </c>
      <c r="J1178" s="3" t="str">
        <v>Observator</v>
      </c>
    </row>
    <row r="1179">
      <c r="A1179" s="3">
        <v>45953</v>
      </c>
      <c r="B1179" s="3" t="str">
        <v>N:New Quotation</v>
      </c>
      <c r="C1179" s="3" t="str">
        <v>H:Hull</v>
      </c>
      <c r="D1179" s="3">
        <f>D1178+1</f>
        <v>1352</v>
      </c>
      <c r="E1179" s="3" t="str">
        <f>CONCAT("Q","/",LEFT(Table2[[#This Row],[Quotation Type]],1),"/", LEFT(Table2[[#This Row],[Branch]],1),"/", RIGHT(YEAR(TODAY()),2), "/",Table2[[#This Row],[Seq. Number]])</f>
        <v>Q/N/H/26/1352</v>
      </c>
      <c r="G1179" s="3" t="str">
        <v>Hayat</v>
      </c>
      <c r="I1179" s="3" t="str">
        <v>GC</v>
      </c>
      <c r="J1179" s="3" t="str">
        <v>CIB</v>
      </c>
    </row>
    <row r="1180">
      <c r="A1180" s="3">
        <v>45957</v>
      </c>
      <c r="B1180" s="3" t="str">
        <v>N:New Quotation</v>
      </c>
      <c r="C1180" s="3" t="str">
        <v>P:P&amp;I</v>
      </c>
      <c r="D1180" s="3">
        <f>D1179+1</f>
        <v>1353</v>
      </c>
      <c r="E1180" s="3" t="str">
        <f>CONCAT("Q","/",LEFT(Table2[[#This Row],[Quotation Type]],1),"/", LEFT(Table2[[#This Row],[Branch]],1),"/", RIGHT(YEAR(TODAY()),2), "/",Table2[[#This Row],[Seq. Number]])</f>
        <v>Q/N/P/26/1353</v>
      </c>
      <c r="G1180" s="3" t="str">
        <v>Hayat</v>
      </c>
      <c r="I1180" s="3" t="str">
        <v>GC</v>
      </c>
      <c r="J1180" s="3" t="str">
        <v>CIB</v>
      </c>
    </row>
    <row r="1181">
      <c r="A1181" s="3">
        <v>45957</v>
      </c>
      <c r="B1181" s="3" t="str">
        <v>A:Addition</v>
      </c>
      <c r="C1181" s="3" t="str">
        <v>H:Hull</v>
      </c>
      <c r="D1181" s="3">
        <f>D1180+1</f>
        <v>1354</v>
      </c>
      <c r="E1181" s="3" t="str">
        <f>CONCAT("Q","/",LEFT(Table2[[#This Row],[Quotation Type]],1),"/", LEFT(Table2[[#This Row],[Branch]],1),"/", RIGHT(YEAR(TODAY()),2), "/",Table2[[#This Row],[Seq. Number]])</f>
        <v>Q/A/H/26/1354</v>
      </c>
      <c r="F1181" s="3" t="str">
        <v>Mykonos Lines</v>
      </c>
      <c r="I1181" s="3" t="str">
        <v>GC</v>
      </c>
      <c r="J1181" s="3" t="str">
        <v>Velos</v>
      </c>
    </row>
    <row r="1182">
      <c r="A1182" s="3">
        <v>45958</v>
      </c>
      <c r="B1182" s="3" t="str">
        <v>A:Addition</v>
      </c>
      <c r="C1182" s="3" t="str">
        <v>H:Hull</v>
      </c>
      <c r="D1182" s="3">
        <f>D1181+1</f>
        <v>1355</v>
      </c>
      <c r="E1182" s="3" t="str">
        <f>CONCAT("Q","/",LEFT(Table2[[#This Row],[Quotation Type]],1),"/", LEFT(Table2[[#This Row],[Branch]],1),"/", RIGHT(YEAR(TODAY()),2), "/",Table2[[#This Row],[Seq. Number]])</f>
        <v>Q/A/H/26/1355</v>
      </c>
      <c r="I1182" s="3" t="str">
        <v>O/T</v>
      </c>
      <c r="J1182" s="3" t="str">
        <v>Newberry</v>
      </c>
    </row>
    <row r="1183">
      <c r="A1183" s="3">
        <v>45958</v>
      </c>
      <c r="B1183" s="3" t="str">
        <v>A:Addition</v>
      </c>
      <c r="C1183" s="3" t="str">
        <v>H:Hull</v>
      </c>
      <c r="D1183" s="3">
        <f>D1182+1</f>
        <v>1356</v>
      </c>
      <c r="E1183" s="3" t="str">
        <f>CONCAT("Q","/",LEFT(Table2[[#This Row],[Quotation Type]],1),"/", LEFT(Table2[[#This Row],[Branch]],1),"/", RIGHT(YEAR(TODAY()),2), "/",Table2[[#This Row],[Seq. Number]])</f>
        <v>Q/A/H/26/1356</v>
      </c>
      <c r="I1183" s="3" t="str">
        <v>O/T</v>
      </c>
      <c r="J1183" s="3" t="str">
        <v>Newberry</v>
      </c>
    </row>
    <row r="1184">
      <c r="A1184" s="3">
        <v>45958</v>
      </c>
      <c r="B1184" s="3" t="str">
        <v>R:Renewal</v>
      </c>
      <c r="C1184" s="3" t="str">
        <v>H:Hull</v>
      </c>
      <c r="D1184" s="3">
        <f>D1183+1</f>
        <v>1357</v>
      </c>
      <c r="E1184" s="3" t="str">
        <f>CONCAT("Q","/",LEFT(Table2[[#This Row],[Quotation Type]],1),"/", LEFT(Table2[[#This Row],[Branch]],1),"/", RIGHT(YEAR(TODAY()),2), "/",Table2[[#This Row],[Seq. Number]])</f>
        <v>Q/R/H/26/1357</v>
      </c>
      <c r="G1184" s="3" t="str">
        <v>Sea Bridge</v>
      </c>
      <c r="I1184" s="3" t="str">
        <v>GC</v>
      </c>
      <c r="J1184" s="3" t="str">
        <v>Direct</v>
      </c>
    </row>
    <row r="1185">
      <c r="A1185" s="3">
        <v>45958</v>
      </c>
      <c r="B1185" s="3" t="str">
        <v>R:Renewal</v>
      </c>
      <c r="C1185" s="3" t="str">
        <v>P:P&amp;I</v>
      </c>
      <c r="D1185" s="3">
        <f>D1184+1</f>
        <v>1358</v>
      </c>
      <c r="E1185" s="3" t="str">
        <f>CONCAT("Q","/",LEFT(Table2[[#This Row],[Quotation Type]],1),"/", LEFT(Table2[[#This Row],[Branch]],1),"/", RIGHT(YEAR(TODAY()),2), "/",Table2[[#This Row],[Seq. Number]])</f>
        <v>Q/R/P/26/1358</v>
      </c>
      <c r="G1185" s="3" t="str">
        <v>Sea Bridge</v>
      </c>
      <c r="I1185" s="3" t="str">
        <v>GC</v>
      </c>
      <c r="J1185" s="3" t="str">
        <v>Direct</v>
      </c>
    </row>
    <row r="1186">
      <c r="A1186" s="3">
        <v>45958</v>
      </c>
      <c r="B1186" s="3" t="str">
        <v>N:New Quotation</v>
      </c>
      <c r="C1186" s="3" t="str">
        <v>H:Hull</v>
      </c>
      <c r="D1186" s="3">
        <f>D1185+1</f>
        <v>1359</v>
      </c>
      <c r="E1186" s="3" t="str">
        <f>CONCAT("Q","/",LEFT(Table2[[#This Row],[Quotation Type]],1),"/", LEFT(Table2[[#This Row],[Branch]],1),"/", RIGHT(YEAR(TODAY()),2), "/",Table2[[#This Row],[Seq. Number]])</f>
        <v>Q/N/H/26/1359</v>
      </c>
      <c r="G1186" s="3" t="str">
        <v>Sayuru</v>
      </c>
      <c r="I1186" s="3" t="str">
        <v>Dredger</v>
      </c>
      <c r="J1186" s="3" t="str">
        <v>Eurasia</v>
      </c>
    </row>
    <row r="1187">
      <c r="A1187" s="3">
        <v>45961</v>
      </c>
      <c r="B1187" s="3" t="str">
        <v>R:Renewal</v>
      </c>
      <c r="C1187" s="3" t="str">
        <v>H:Hull</v>
      </c>
      <c r="D1187" s="3">
        <f>D1186+1</f>
        <v>1360</v>
      </c>
      <c r="E1187" s="3" t="str">
        <f>CONCAT("Q","/",LEFT(Table2[[#This Row],[Quotation Type]],1),"/", LEFT(Table2[[#This Row],[Branch]],1),"/", RIGHT(YEAR(TODAY()),2), "/",Table2[[#This Row],[Seq. Number]])</f>
        <v>Q/R/H/26/1360</v>
      </c>
      <c r="G1187" s="3" t="str">
        <v>Selena</v>
      </c>
      <c r="I1187" s="3" t="str">
        <v>GC</v>
      </c>
      <c r="J1187" s="3" t="str">
        <v>Direct</v>
      </c>
    </row>
    <row r="1188">
      <c r="A1188" s="3">
        <v>45961</v>
      </c>
      <c r="B1188" s="3" t="str">
        <v>R:Renewal</v>
      </c>
      <c r="C1188" s="3" t="str">
        <v>P:P&amp;I</v>
      </c>
      <c r="D1188" s="3">
        <f>D1187+1</f>
        <v>1361</v>
      </c>
      <c r="E1188" s="3" t="str">
        <f>CONCAT("Q","/",LEFT(Table2[[#This Row],[Quotation Type]],1),"/", LEFT(Table2[[#This Row],[Branch]],1),"/", RIGHT(YEAR(TODAY()),2), "/",Table2[[#This Row],[Seq. Number]])</f>
        <v>Q/R/P/26/1361</v>
      </c>
      <c r="G1188" s="3" t="str">
        <v>Selena</v>
      </c>
      <c r="I1188" s="3" t="str">
        <v>GC</v>
      </c>
      <c r="J1188" s="3" t="str">
        <v>Direct</v>
      </c>
    </row>
    <row r="1189">
      <c r="A1189" s="3">
        <v>45961</v>
      </c>
      <c r="B1189" s="3" t="str">
        <v>R:Renewal</v>
      </c>
      <c r="C1189" s="3" t="str">
        <v>P:P&amp;I</v>
      </c>
      <c r="D1189" s="3">
        <f>D1188+1</f>
        <v>1362</v>
      </c>
      <c r="E1189" s="3" t="str">
        <f>CONCAT("Q","/",LEFT(Table2[[#This Row],[Quotation Type]],1),"/", LEFT(Table2[[#This Row],[Branch]],1),"/", RIGHT(YEAR(TODAY()),2), "/",Table2[[#This Row],[Seq. Number]])</f>
        <v>Q/R/P/26/1362</v>
      </c>
      <c r="G1189" s="3" t="str">
        <v>Norland</v>
      </c>
      <c r="I1189" s="3" t="str">
        <v>MLV</v>
      </c>
      <c r="J1189" s="3" t="str">
        <v>Direct</v>
      </c>
    </row>
    <row r="1190">
      <c r="A1190" s="3">
        <v>45961</v>
      </c>
      <c r="B1190" s="3" t="str">
        <v>R:Renewal</v>
      </c>
      <c r="C1190" s="3" t="str">
        <v>H:Hull</v>
      </c>
      <c r="D1190" s="3">
        <f>D1189+1</f>
        <v>1363</v>
      </c>
      <c r="E1190" s="3" t="str">
        <f>CONCAT("Q","/",LEFT(Table2[[#This Row],[Quotation Type]],1),"/", LEFT(Table2[[#This Row],[Branch]],1),"/", RIGHT(YEAR(TODAY()),2), "/",Table2[[#This Row],[Seq. Number]])</f>
        <v>Q/R/H/26/1363</v>
      </c>
      <c r="G1190" s="3" t="str">
        <v>Norland</v>
      </c>
      <c r="I1190" s="3" t="str">
        <v>MLV</v>
      </c>
      <c r="J1190" s="3" t="str">
        <v>Direct</v>
      </c>
    </row>
    <row r="1191">
      <c r="A1191" s="3">
        <v>45961</v>
      </c>
      <c r="B1191" s="3" t="str">
        <v>R:Renewal</v>
      </c>
      <c r="C1191" s="3" t="str">
        <v>W:War</v>
      </c>
      <c r="D1191" s="3">
        <f>D1190+1</f>
        <v>1364</v>
      </c>
      <c r="E1191" s="3" t="str">
        <f>CONCAT("Q","/",LEFT(Table2[[#This Row],[Quotation Type]],1),"/", LEFT(Table2[[#This Row],[Branch]],1),"/", RIGHT(YEAR(TODAY()),2), "/",Table2[[#This Row],[Seq. Number]])</f>
        <v>Q/R/W/26/1364</v>
      </c>
      <c r="G1191" s="3" t="str">
        <v>Norland</v>
      </c>
      <c r="I1191" s="3" t="str">
        <v>MLV</v>
      </c>
      <c r="J1191" s="3" t="str">
        <v>Direct</v>
      </c>
    </row>
    <row r="1192">
      <c r="A1192" s="3">
        <v>45965</v>
      </c>
      <c r="B1192" s="3" t="str">
        <v>R:Renewal</v>
      </c>
      <c r="C1192" s="3" t="str">
        <v>P:P&amp;I</v>
      </c>
      <c r="D1192" s="3">
        <v>1365</v>
      </c>
      <c r="E1192" s="3" t="str">
        <f>CONCAT("Q","/",LEFT(Table2[[#This Row],[Quotation Type]],1),"/", LEFT(Table2[[#This Row],[Branch]],1),"/", RIGHT(YEAR(TODAY()),2), "/",Table2[[#This Row],[Seq. Number]])</f>
        <v>Q/R/P/26/1365</v>
      </c>
      <c r="G1192" s="3" t="str">
        <v>Annunaki</v>
      </c>
      <c r="I1192" s="3" t="str">
        <v>GC</v>
      </c>
      <c r="J1192" s="3" t="str">
        <v>Kuzey</v>
      </c>
    </row>
    <row r="1193">
      <c r="A1193" s="3">
        <v>45966</v>
      </c>
      <c r="B1193" s="3" t="str">
        <v>R:Renewal</v>
      </c>
      <c r="C1193" s="3" t="str">
        <v>H:Hull</v>
      </c>
      <c r="D1193" s="3">
        <v>1365</v>
      </c>
      <c r="E1193" s="3" t="str">
        <f>CONCAT("Q","/",LEFT(Table2[[#This Row],[Quotation Type]],1),"/", LEFT(Table2[[#This Row],[Branch]],1),"/", RIGHT(YEAR(TODAY()),2), "/",Table2[[#This Row],[Seq. Number]])</f>
        <v>Q/R/H/26/1365</v>
      </c>
      <c r="G1193" s="3" t="str">
        <v xml:space="preserve">Sand Weaver </v>
      </c>
      <c r="I1193" s="3" t="str">
        <v>HD</v>
      </c>
      <c r="J1193" s="3" t="str">
        <v>Orion</v>
      </c>
    </row>
    <row r="1194">
      <c r="A1194" s="3">
        <v>45968</v>
      </c>
      <c r="B1194" s="3" t="str">
        <v>R:Renewal</v>
      </c>
      <c r="C1194" s="3" t="str">
        <v>H:Hull</v>
      </c>
      <c r="D1194" s="3">
        <v>1367</v>
      </c>
      <c r="E1194" s="3" t="str">
        <f>CONCAT("Q","/",LEFT(Table2[[#This Row],[Quotation Type]],1),"/", LEFT(Table2[[#This Row],[Branch]],1),"/", RIGHT(YEAR(TODAY()),2), "/",Table2[[#This Row],[Seq. Number]])</f>
        <v>Q/R/H/26/1367</v>
      </c>
      <c r="G1194" s="3" t="str">
        <v>Milla Moon</v>
      </c>
      <c r="I1194" s="3" t="str">
        <v>GC</v>
      </c>
      <c r="J1194" s="3" t="str">
        <v>GMS</v>
      </c>
    </row>
    <row r="1195">
      <c r="A1195" s="3">
        <v>45968</v>
      </c>
      <c r="B1195" s="3" t="str">
        <v>R:Renewal</v>
      </c>
      <c r="C1195" s="3" t="str">
        <v>P:P&amp;I</v>
      </c>
      <c r="D1195" s="3">
        <f>D1194+1</f>
        <v>1368</v>
      </c>
      <c r="E1195" s="3" t="str">
        <f>CONCAT("Q","/",LEFT(Table2[[#This Row],[Quotation Type]],1),"/", LEFT(Table2[[#This Row],[Branch]],1),"/", RIGHT(YEAR(TODAY()),2), "/",Table2[[#This Row],[Seq. Number]])</f>
        <v>Q/R/P/26/1368</v>
      </c>
      <c r="G1195" s="3" t="str">
        <v>Milla Moon</v>
      </c>
      <c r="I1195" s="3" t="str">
        <v>HD</v>
      </c>
      <c r="J1195" s="3" t="str">
        <v>GMS</v>
      </c>
    </row>
    <row r="1196">
      <c r="A1196" s="3">
        <v>45972</v>
      </c>
      <c r="B1196" s="3" t="str">
        <v>N:New Quotation</v>
      </c>
      <c r="C1196" s="3" t="str">
        <v>H:Hull</v>
      </c>
      <c r="D1196" s="3">
        <f>D1195+1</f>
        <v>1369</v>
      </c>
      <c r="E1196" s="3" t="str">
        <f>CONCAT("Q","/",LEFT(Table2[[#This Row],[Quotation Type]],1),"/", LEFT(Table2[[#This Row],[Branch]],1),"/", RIGHT(YEAR(TODAY()),2), "/",Table2[[#This Row],[Seq. Number]])</f>
        <v>Q/N/H/26/1369</v>
      </c>
      <c r="G1196" s="3" t="str">
        <v>Sulefisk</v>
      </c>
    </row>
    <row r="1197">
      <c r="A1197" s="3">
        <v>45972</v>
      </c>
      <c r="B1197" s="3" t="str">
        <v>A:Addition</v>
      </c>
      <c r="C1197" s="3" t="str">
        <v>F:FD&amp;D</v>
      </c>
      <c r="D1197" s="3">
        <f>D1196+1</f>
        <v>1370</v>
      </c>
      <c r="E1197" s="3" t="str">
        <f>CONCAT("Q","/",LEFT(Table2[[#This Row],[Quotation Type]],1),"/", LEFT(Table2[[#This Row],[Branch]],1),"/", RIGHT(YEAR(TODAY()),2), "/",Table2[[#This Row],[Seq. Number]])</f>
        <v>Q/A/F/26/1370</v>
      </c>
      <c r="G1197" s="3" t="str">
        <v>Sky Light</v>
      </c>
    </row>
    <row r="1198">
      <c r="A1198" s="3">
        <v>45972</v>
      </c>
      <c r="B1198" s="3" t="str">
        <v>N:New Quotation</v>
      </c>
      <c r="C1198" s="3" t="str">
        <v>H:Hull</v>
      </c>
      <c r="D1198" s="3">
        <f>D1197+1</f>
        <v>1371</v>
      </c>
      <c r="E1198" s="3" t="str">
        <f>CONCAT("Q","/",LEFT(Table2[[#This Row],[Quotation Type]],1),"/", LEFT(Table2[[#This Row],[Branch]],1),"/", RIGHT(YEAR(TODAY()),2), "/",Table2[[#This Row],[Seq. Number]])</f>
        <v>Q/N/H/26/1371</v>
      </c>
      <c r="G1198" s="3" t="str">
        <v>Sidra</v>
      </c>
    </row>
    <row r="1199">
      <c r="A1199" s="3">
        <v>45972</v>
      </c>
      <c r="B1199" s="3" t="str">
        <v>N:New Quotation</v>
      </c>
      <c r="C1199" s="3" t="str">
        <v>P:P&amp;I</v>
      </c>
      <c r="D1199" s="3">
        <f>D1198+1</f>
        <v>1372</v>
      </c>
      <c r="E1199" s="3" t="str">
        <f>CONCAT("Q","/",LEFT(Table2[[#This Row],[Quotation Type]],1),"/", LEFT(Table2[[#This Row],[Branch]],1),"/", RIGHT(YEAR(TODAY()),2), "/",Table2[[#This Row],[Seq. Number]])</f>
        <v>Q/N/P/26/1372</v>
      </c>
      <c r="G1199" s="3" t="str">
        <v>Sidra</v>
      </c>
    </row>
    <row r="1200">
      <c r="A1200" s="3">
        <v>45974</v>
      </c>
      <c r="B1200" s="3" t="str">
        <v>R:Renewal</v>
      </c>
      <c r="C1200" s="3" t="str">
        <v>P:P&amp;I</v>
      </c>
      <c r="D1200" s="3">
        <f>D1199+1</f>
        <v>1373</v>
      </c>
      <c r="E1200" s="3" t="str">
        <f>CONCAT("Q","/",LEFT(Table2[[#This Row],[Quotation Type]],1),"/", LEFT(Table2[[#This Row],[Branch]],1),"/", RIGHT(YEAR(TODAY()),2), "/",Table2[[#This Row],[Seq. Number]])</f>
        <v>Q/R/P/26/1373</v>
      </c>
      <c r="G1200" s="3" t="str">
        <v>GOLDEN BAY</v>
      </c>
      <c r="I1200" s="3" t="str">
        <v>GC</v>
      </c>
      <c r="J1200" s="3" t="str">
        <v xml:space="preserve"> BMB</v>
      </c>
    </row>
    <row r="1201">
      <c r="A1201" s="3">
        <v>45974</v>
      </c>
      <c r="B1201" s="3" t="str">
        <v>R:Renewal</v>
      </c>
      <c r="C1201" s="3" t="str">
        <v>P:P&amp;I</v>
      </c>
      <c r="D1201" s="3">
        <f>D1200+1</f>
        <v>1374</v>
      </c>
      <c r="E1201" s="3" t="str">
        <f>CONCAT("Q","/",LEFT(Table2[[#This Row],[Quotation Type]],1),"/", LEFT(Table2[[#This Row],[Branch]],1),"/", RIGHT(YEAR(TODAY()),2), "/",Table2[[#This Row],[Seq. Number]])</f>
        <v>Q/R/P/26/1374</v>
      </c>
      <c r="G1201" s="3" t="str">
        <v>MR Trader</v>
      </c>
      <c r="I1201" s="3" t="str">
        <v>GC</v>
      </c>
      <c r="J1201" s="3" t="str">
        <v xml:space="preserve"> BMB</v>
      </c>
    </row>
    <row r="1202">
      <c r="A1202" s="3">
        <v>45978</v>
      </c>
      <c r="B1202" s="3" t="str">
        <v>R:Renewal</v>
      </c>
      <c r="C1202" s="3" t="str">
        <v>H:Hull</v>
      </c>
      <c r="D1202" s="3">
        <f>D1201+1</f>
        <v>1375</v>
      </c>
      <c r="E1202" s="3" t="str">
        <f>CONCAT("Q","/",LEFT(Table2[[#This Row],[Quotation Type]],1),"/", LEFT(Table2[[#This Row],[Branch]],1),"/", RIGHT(YEAR(TODAY()),2), "/",Table2[[#This Row],[Seq. Number]])</f>
        <v>Q/R/H/26/1375</v>
      </c>
      <c r="G1202" s="3" t="str">
        <v xml:space="preserve">MCD </v>
      </c>
      <c r="I1202" s="3" t="str">
        <v>BC</v>
      </c>
      <c r="J1202" s="3" t="str">
        <v>Sarnia</v>
      </c>
    </row>
    <row r="1203">
      <c r="A1203" s="3">
        <v>45978</v>
      </c>
      <c r="B1203" s="3" t="str">
        <v>R:Renewal</v>
      </c>
      <c r="C1203" s="3" t="str">
        <v>H:Hull</v>
      </c>
      <c r="D1203" s="3">
        <f>D1202+1</f>
        <v>1376</v>
      </c>
      <c r="E1203" s="3" t="str">
        <f>CONCAT("Q","/",LEFT(Table2[[#This Row],[Quotation Type]],1),"/", LEFT(Table2[[#This Row],[Branch]],1),"/", RIGHT(YEAR(TODAY()),2), "/",Table2[[#This Row],[Seq. Number]])</f>
        <v>Q/R/H/26/1376</v>
      </c>
      <c r="G1203" s="3" t="str">
        <v>MCD</v>
      </c>
      <c r="I1203" s="3" t="str">
        <v>BC</v>
      </c>
      <c r="J1203" s="3" t="str">
        <v>Sarnia</v>
      </c>
    </row>
    <row r="1204">
      <c r="A1204" s="3">
        <v>45978</v>
      </c>
      <c r="B1204" s="3" t="str">
        <v>R:Renewal</v>
      </c>
      <c r="C1204" s="3" t="str">
        <v>W:War</v>
      </c>
      <c r="D1204" s="3">
        <f>D1203+1</f>
        <v>1377</v>
      </c>
      <c r="E1204" s="3" t="str">
        <f>CONCAT("Q","/",LEFT(Table2[[#This Row],[Quotation Type]],1),"/", LEFT(Table2[[#This Row],[Branch]],1),"/", RIGHT(YEAR(TODAY()),2), "/",Table2[[#This Row],[Seq. Number]])</f>
        <v>Q/R/W/26/1377</v>
      </c>
      <c r="G1204" s="3" t="str">
        <v>MCD</v>
      </c>
      <c r="I1204" s="3" t="str">
        <v>BC</v>
      </c>
      <c r="J1204" s="3" t="str">
        <v>Sarnia</v>
      </c>
    </row>
    <row r="1205">
      <c r="A1205" s="3">
        <v>45978</v>
      </c>
      <c r="B1205" s="3" t="str">
        <v>R:Renewal</v>
      </c>
      <c r="C1205" s="3" t="str">
        <v>W:War</v>
      </c>
      <c r="D1205" s="3">
        <f>D1204+1</f>
        <v>1378</v>
      </c>
      <c r="E1205" s="3" t="str">
        <f>CONCAT("Q","/",LEFT(Table2[[#This Row],[Quotation Type]],1),"/", LEFT(Table2[[#This Row],[Branch]],1),"/", RIGHT(YEAR(TODAY()),2), "/",Table2[[#This Row],[Seq. Number]])</f>
        <v>Q/R/W/26/1378</v>
      </c>
      <c r="G1205" s="3" t="str">
        <v>MCD</v>
      </c>
      <c r="I1205" s="3" t="str">
        <v>BC</v>
      </c>
      <c r="J1205" s="3" t="str">
        <v>Sarnia</v>
      </c>
    </row>
    <row r="1206">
      <c r="A1206" s="3">
        <v>45978</v>
      </c>
      <c r="B1206" s="3" t="str">
        <v>A:Addition</v>
      </c>
      <c r="C1206" s="3" t="str">
        <v>P:P&amp;I</v>
      </c>
      <c r="D1206" s="3">
        <f>D1205+1</f>
        <v>1379</v>
      </c>
      <c r="E1206" s="3" t="str">
        <f>CONCAT("Q","/",LEFT(Table2[[#This Row],[Quotation Type]],1),"/", LEFT(Table2[[#This Row],[Branch]],1),"/", RIGHT(YEAR(TODAY()),2), "/",Table2[[#This Row],[Seq. Number]])</f>
        <v>Q/A/P/26/1379</v>
      </c>
      <c r="G1206" s="3" t="str">
        <v>Madonna</v>
      </c>
      <c r="I1206" s="3" t="str">
        <v>MLV</v>
      </c>
      <c r="J1206" s="3" t="str">
        <v>Mina Group</v>
      </c>
    </row>
    <row r="1207">
      <c r="A1207" s="3">
        <v>45978</v>
      </c>
      <c r="B1207" s="3" t="str">
        <v>A:Addition</v>
      </c>
      <c r="C1207" s="3" t="str">
        <v>H:Hull</v>
      </c>
      <c r="D1207" s="3">
        <f>D1206+1</f>
        <v>1380</v>
      </c>
      <c r="E1207" s="3" t="str">
        <f>CONCAT("Q","/",LEFT(Table2[[#This Row],[Quotation Type]],1),"/", LEFT(Table2[[#This Row],[Branch]],1),"/", RIGHT(YEAR(TODAY()),2), "/",Table2[[#This Row],[Seq. Number]])</f>
        <v>Q/A/H/26/1380</v>
      </c>
      <c r="G1207" s="3" t="str">
        <v>Madonna</v>
      </c>
      <c r="I1207" s="3" t="str">
        <v>MLV</v>
      </c>
      <c r="J1207" s="3" t="str">
        <v>Mina Group</v>
      </c>
    </row>
    <row r="1208">
      <c r="A1208" s="3">
        <v>45980</v>
      </c>
      <c r="B1208" s="3" t="str">
        <v>A:Addition</v>
      </c>
      <c r="C1208" s="3" t="str">
        <v>H:Hull</v>
      </c>
      <c r="D1208" s="3">
        <f>D1207+1</f>
        <v>1381</v>
      </c>
      <c r="E1208" s="3" t="str">
        <f>CONCAT("Q","/",LEFT(Table2[[#This Row],[Quotation Type]],1),"/", LEFT(Table2[[#This Row],[Branch]],1),"/", RIGHT(YEAR(TODAY()),2), "/",Table2[[#This Row],[Seq. Number]])</f>
        <v>Q/A/H/26/1381</v>
      </c>
      <c r="F1208" s="3" t="str">
        <v>Swedish Management</v>
      </c>
      <c r="I1208" s="3" t="str">
        <v>Tug</v>
      </c>
      <c r="J1208" s="3" t="str">
        <v>Direct</v>
      </c>
    </row>
    <row r="1209">
      <c r="A1209" s="3">
        <v>45980</v>
      </c>
      <c r="B1209" s="3" t="str">
        <v>R:Renewal</v>
      </c>
      <c r="C1209" s="3" t="str">
        <v>P:P&amp;I</v>
      </c>
      <c r="D1209" s="3">
        <f>D1208+1</f>
        <v>1382</v>
      </c>
      <c r="E1209" s="3" t="str">
        <f>CONCAT("Q","/",LEFT(Table2[[#This Row],[Quotation Type]],1),"/", LEFT(Table2[[#This Row],[Branch]],1),"/", RIGHT(YEAR(TODAY()),2), "/",Table2[[#This Row],[Seq. Number]])</f>
        <v>Q/R/P/26/1382</v>
      </c>
      <c r="G1209" s="3" t="str">
        <v>Taj</v>
      </c>
      <c r="I1209" s="3" t="str">
        <v>GC</v>
      </c>
      <c r="J1209" s="3" t="str">
        <v>Ferrari</v>
      </c>
    </row>
    <row r="1210">
      <c r="A1210" s="3">
        <v>45981</v>
      </c>
      <c r="B1210" s="3" t="str">
        <v>N:New Quotation</v>
      </c>
      <c r="C1210" s="3" t="str">
        <v>P:P&amp;I</v>
      </c>
      <c r="D1210" s="3">
        <f>D1209+1</f>
        <v>1383</v>
      </c>
      <c r="E1210" s="3" t="str">
        <f>CONCAT("Q","/",LEFT(Table2[[#This Row],[Quotation Type]],1),"/", LEFT(Table2[[#This Row],[Branch]],1),"/", RIGHT(YEAR(TODAY()),2), "/",Table2[[#This Row],[Seq. Number]])</f>
        <v>Q/N/P/26/1383</v>
      </c>
      <c r="G1210" s="3" t="str">
        <v>Gladius</v>
      </c>
      <c r="I1210" s="3" t="str">
        <v>GC</v>
      </c>
      <c r="J1210" s="3" t="str">
        <v>Mesco</v>
      </c>
    </row>
    <row r="1211">
      <c r="A1211" s="3">
        <v>45981</v>
      </c>
      <c r="B1211" s="3" t="str">
        <v>N:New Quotation</v>
      </c>
      <c r="C1211" s="3" t="str">
        <v>P:P&amp;I</v>
      </c>
      <c r="D1211" s="3">
        <f>D1210+1</f>
        <v>1384</v>
      </c>
      <c r="E1211" s="3" t="str">
        <f>CONCAT("Q","/",LEFT(Table2[[#This Row],[Quotation Type]],1),"/", LEFT(Table2[[#This Row],[Branch]],1),"/", RIGHT(YEAR(TODAY()),2), "/",Table2[[#This Row],[Seq. Number]])</f>
        <v>Q/N/P/26/1384</v>
      </c>
      <c r="G1211" s="3" t="str">
        <v>Agadir A</v>
      </c>
      <c r="I1211" s="3" t="str">
        <v xml:space="preserve">Supply </v>
      </c>
      <c r="J1211" s="3" t="str">
        <v>Kuzey</v>
      </c>
    </row>
    <row r="1212">
      <c r="A1212" s="3">
        <v>45981</v>
      </c>
      <c r="B1212" s="3" t="str">
        <v>N:New Quotation</v>
      </c>
      <c r="C1212" s="3" t="str">
        <v>H:Hull</v>
      </c>
      <c r="D1212" s="3">
        <f>D1211+1</f>
        <v>1385</v>
      </c>
      <c r="E1212" s="3" t="str">
        <f>CONCAT("Q","/",LEFT(Table2[[#This Row],[Quotation Type]],1),"/", LEFT(Table2[[#This Row],[Branch]],1),"/", RIGHT(YEAR(TODAY()),2), "/",Table2[[#This Row],[Seq. Number]])</f>
        <v>Q/N/H/26/1385</v>
      </c>
      <c r="G1212" s="3" t="str">
        <v>Agadir A</v>
      </c>
      <c r="I1212" s="3" t="str">
        <v xml:space="preserve">Supply </v>
      </c>
      <c r="J1212" s="3" t="str">
        <v>Kuzey</v>
      </c>
    </row>
    <row r="1213">
      <c r="A1213" s="3">
        <v>45982</v>
      </c>
      <c r="B1213" s="3" t="str">
        <v>R:Renewal</v>
      </c>
      <c r="C1213" s="3" t="str">
        <v>P:P&amp;I</v>
      </c>
      <c r="D1213" s="3">
        <f>D1212+1</f>
        <v>1386</v>
      </c>
      <c r="E1213" s="3" t="str">
        <f>CONCAT("Q","/",LEFT(Table2[[#This Row],[Quotation Type]],1),"/", LEFT(Table2[[#This Row],[Branch]],1),"/", RIGHT(YEAR(TODAY()),2), "/",Table2[[#This Row],[Seq. Number]])</f>
        <v>Q/R/P/26/1386</v>
      </c>
      <c r="G1213" s="3" t="str">
        <v>Tiger Tug</v>
      </c>
      <c r="I1213" s="3" t="str">
        <v>Tug</v>
      </c>
      <c r="J1213" s="3" t="str">
        <v>Observator</v>
      </c>
    </row>
    <row r="1214">
      <c r="A1214" s="3">
        <v>45982</v>
      </c>
      <c r="B1214" s="3" t="str">
        <v>R:Renewal</v>
      </c>
      <c r="C1214" s="3" t="str">
        <v>H:Hull</v>
      </c>
      <c r="D1214" s="3">
        <f>D1213+1</f>
        <v>1387</v>
      </c>
      <c r="E1214" s="3" t="str">
        <f>CONCAT("Q","/",LEFT(Table2[[#This Row],[Quotation Type]],1),"/", LEFT(Table2[[#This Row],[Branch]],1),"/", RIGHT(YEAR(TODAY()),2), "/",Table2[[#This Row],[Seq. Number]])</f>
        <v>Q/R/H/26/1387</v>
      </c>
      <c r="G1214" s="3" t="str">
        <v>Majestic Noor</v>
      </c>
      <c r="I1214" s="3" t="str">
        <v>BC</v>
      </c>
      <c r="J1214" s="3" t="str">
        <v>Sarnia</v>
      </c>
    </row>
    <row r="1215">
      <c r="A1215" s="3">
        <v>45982</v>
      </c>
      <c r="B1215" s="3" t="str">
        <v>R:Renewal</v>
      </c>
      <c r="C1215" s="3" t="str">
        <v>W:War</v>
      </c>
      <c r="D1215" s="3">
        <f>D1214+1</f>
        <v>1388</v>
      </c>
      <c r="E1215" s="3" t="str">
        <f>CONCAT("Q","/",LEFT(Table2[[#This Row],[Quotation Type]],1),"/", LEFT(Table2[[#This Row],[Branch]],1),"/", RIGHT(YEAR(TODAY()),2), "/",Table2[[#This Row],[Seq. Number]])</f>
        <v>Q/R/W/26/1388</v>
      </c>
      <c r="G1215" s="3" t="str">
        <v>Majestic Vera</v>
      </c>
      <c r="I1215" s="3" t="str">
        <v>BC</v>
      </c>
      <c r="J1215" s="3" t="str">
        <v>Sarnia</v>
      </c>
    </row>
    <row r="1216">
      <c r="A1216" s="3">
        <v>45982</v>
      </c>
      <c r="B1216" s="3" t="str">
        <v>R:Renewal</v>
      </c>
      <c r="C1216" s="3" t="str">
        <v>H:Hull</v>
      </c>
      <c r="D1216" s="3">
        <f>D1215+1</f>
        <v>1389</v>
      </c>
      <c r="E1216" s="3" t="str">
        <f>CONCAT("Q","/",LEFT(Table2[[#This Row],[Quotation Type]],1),"/", LEFT(Table2[[#This Row],[Branch]],1),"/", RIGHT(YEAR(TODAY()),2), "/",Table2[[#This Row],[Seq. Number]])</f>
        <v>Q/R/H/26/1389</v>
      </c>
      <c r="G1216" s="3" t="str">
        <v>Majestic Noor</v>
      </c>
      <c r="I1216" s="3" t="str">
        <v>BC</v>
      </c>
      <c r="J1216" s="3" t="str">
        <v>Sarnia</v>
      </c>
    </row>
    <row r="1217">
      <c r="A1217" s="3">
        <v>45982</v>
      </c>
      <c r="B1217" s="3" t="str">
        <v>R:Renewal</v>
      </c>
      <c r="C1217" s="3" t="str">
        <v>W:War</v>
      </c>
      <c r="D1217" s="3">
        <f>D1216+1</f>
        <v>1390</v>
      </c>
      <c r="E1217" s="3" t="str">
        <f>CONCAT("Q","/",LEFT(Table2[[#This Row],[Quotation Type]],1),"/", LEFT(Table2[[#This Row],[Branch]],1),"/", RIGHT(YEAR(TODAY()),2), "/",Table2[[#This Row],[Seq. Number]])</f>
        <v>Q/R/W/26/1390</v>
      </c>
      <c r="G1217" s="3" t="str">
        <v>Majestic Vera</v>
      </c>
      <c r="I1217" s="3" t="str">
        <v>BC</v>
      </c>
      <c r="J1217" s="3" t="str">
        <v>Sarnia</v>
      </c>
    </row>
    <row r="1218">
      <c r="A1218" s="3">
        <v>45982</v>
      </c>
      <c r="B1218" s="3" t="str">
        <v>R:Renewal</v>
      </c>
      <c r="C1218" s="3" t="str">
        <v>P:P&amp;I</v>
      </c>
      <c r="D1218" s="3">
        <f>D1217+1</f>
        <v>1391</v>
      </c>
      <c r="E1218" s="3" t="str">
        <f>CONCAT("Q","/",LEFT(Table2[[#This Row],[Quotation Type]],1),"/", LEFT(Table2[[#This Row],[Branch]],1),"/", RIGHT(YEAR(TODAY()),2), "/",Table2[[#This Row],[Seq. Number]])</f>
        <v>Q/R/P/26/1391</v>
      </c>
      <c r="G1218" s="3" t="str">
        <v>Abou Jalal</v>
      </c>
      <c r="I1218" s="3" t="str">
        <v>GC</v>
      </c>
      <c r="J1218" s="3" t="str">
        <v>Direct</v>
      </c>
    </row>
    <row r="1219">
      <c r="A1219" s="3">
        <v>45986</v>
      </c>
      <c r="B1219" s="3" t="str">
        <v>R:Renewal</v>
      </c>
      <c r="C1219" s="3" t="str">
        <v>H:Hull</v>
      </c>
      <c r="D1219" s="3">
        <f>D1218+1</f>
        <v>1392</v>
      </c>
      <c r="E1219" s="3" t="str">
        <f>CONCAT("Q","/",LEFT(Table2[[#This Row],[Quotation Type]],1),"/", LEFT(Table2[[#This Row],[Branch]],1),"/", RIGHT(YEAR(TODAY()),2), "/",Table2[[#This Row],[Seq. Number]])</f>
        <v>Q/R/H/26/1392</v>
      </c>
      <c r="G1219" s="3" t="str">
        <v>David Y</v>
      </c>
      <c r="I1219" s="3" t="str">
        <v>BC</v>
      </c>
      <c r="J1219" s="3" t="str">
        <v>Direct</v>
      </c>
    </row>
    <row r="1220">
      <c r="A1220" s="3">
        <v>45986</v>
      </c>
      <c r="B1220" s="3" t="str">
        <v>R:Renewal</v>
      </c>
      <c r="C1220" s="3" t="str">
        <v>W:War</v>
      </c>
      <c r="D1220" s="3">
        <f>D1219+1</f>
        <v>1393</v>
      </c>
      <c r="E1220" s="3" t="str">
        <f>CONCAT("Q","/",LEFT(Table2[[#This Row],[Quotation Type]],1),"/", LEFT(Table2[[#This Row],[Branch]],1),"/", RIGHT(YEAR(TODAY()),2), "/",Table2[[#This Row],[Seq. Number]])</f>
        <v>Q/R/W/26/1393</v>
      </c>
      <c r="G1220" s="3" t="str">
        <v>David Y</v>
      </c>
      <c r="I1220" s="3" t="str">
        <v>BC</v>
      </c>
      <c r="J1220" s="3" t="str">
        <v>Direct</v>
      </c>
    </row>
    <row r="1221">
      <c r="A1221" s="3">
        <v>45988</v>
      </c>
      <c r="B1221" s="3" t="str">
        <v>N:New Quotation</v>
      </c>
      <c r="C1221" s="3" t="str">
        <v>P:P&amp;I</v>
      </c>
      <c r="D1221" s="3">
        <f>D1220+1</f>
        <v>1394</v>
      </c>
      <c r="E1221" s="3" t="str">
        <f>CONCAT("Q","/",LEFT(Table2[[#This Row],[Quotation Type]],1),"/", LEFT(Table2[[#This Row],[Branch]],1),"/", RIGHT(YEAR(TODAY()),2), "/",Table2[[#This Row],[Seq. Number]])</f>
        <v>Q/N/P/26/1394</v>
      </c>
      <c r="G1221" s="3" t="str">
        <v>Leader</v>
      </c>
      <c r="I1221" s="3" t="str">
        <v>MLV</v>
      </c>
      <c r="J1221" s="3" t="str">
        <v>Mesco</v>
      </c>
    </row>
    <row r="1222">
      <c r="A1222" s="3">
        <v>45989</v>
      </c>
      <c r="B1222" s="3" t="str">
        <v>R:Renewal</v>
      </c>
      <c r="C1222" s="3" t="str">
        <v>P:P&amp;I</v>
      </c>
      <c r="D1222" s="3">
        <f>D1221+1</f>
        <v>1395</v>
      </c>
      <c r="E1222" s="3" t="str">
        <f>CONCAT("Q","/",LEFT(Table2[[#This Row],[Quotation Type]],1),"/", LEFT(Table2[[#This Row],[Branch]],1),"/", RIGHT(YEAR(TODAY()),2), "/",Table2[[#This Row],[Seq. Number]])</f>
        <v>Q/R/P/26/1395</v>
      </c>
      <c r="G1222" s="3" t="str">
        <v>Baron</v>
      </c>
      <c r="I1222" s="3" t="str">
        <v>GC</v>
      </c>
      <c r="J1222" s="3" t="str">
        <v>Mesco</v>
      </c>
    </row>
    <row r="1223">
      <c r="A1223" s="3">
        <v>45989</v>
      </c>
      <c r="B1223" s="3" t="str">
        <v>R:Renewal</v>
      </c>
      <c r="C1223" s="3" t="str">
        <v>P:P&amp;I</v>
      </c>
      <c r="D1223" s="3">
        <f>D1222+1</f>
        <v>1396</v>
      </c>
      <c r="E1223" s="3" t="str">
        <f>CONCAT("Q","/",LEFT(Table2[[#This Row],[Quotation Type]],1),"/", LEFT(Table2[[#This Row],[Branch]],1),"/", RIGHT(YEAR(TODAY()),2), "/",Table2[[#This Row],[Seq. Number]])</f>
        <v>Q/R/P/26/1396</v>
      </c>
      <c r="G1223" s="3" t="str">
        <v>Talia</v>
      </c>
      <c r="I1223" s="3" t="str">
        <v>GC</v>
      </c>
      <c r="J1223" s="3" t="str">
        <v>Direct</v>
      </c>
    </row>
    <row r="1224">
      <c r="A1224" s="3">
        <v>45989</v>
      </c>
      <c r="B1224" s="3" t="str">
        <v>R:Renewal</v>
      </c>
      <c r="C1224" s="3" t="str">
        <v>H:Hull</v>
      </c>
      <c r="D1224" s="3">
        <f>D1223+1</f>
        <v>1397</v>
      </c>
      <c r="E1224" s="3" t="str">
        <f>CONCAT("Q","/",LEFT(Table2[[#This Row],[Quotation Type]],1),"/", LEFT(Table2[[#This Row],[Branch]],1),"/", RIGHT(YEAR(TODAY()),2), "/",Table2[[#This Row],[Seq. Number]])</f>
        <v>Q/R/H/26/1397</v>
      </c>
      <c r="G1224" s="3" t="str">
        <v>Talia</v>
      </c>
      <c r="I1224" s="3" t="str">
        <v>GC</v>
      </c>
      <c r="J1224" s="3" t="str">
        <v>Direct</v>
      </c>
    </row>
    <row r="1225">
      <c r="A1225" s="3">
        <v>45989</v>
      </c>
      <c r="B1225" s="3" t="str">
        <v>A:Addition</v>
      </c>
      <c r="C1225" s="3" t="str">
        <v>H:Hull</v>
      </c>
      <c r="D1225" s="3">
        <f>D1224+1</f>
        <v>1398</v>
      </c>
      <c r="E1225" s="3" t="str">
        <f>CONCAT("Q","/",LEFT(Table2[[#This Row],[Quotation Type]],1),"/", LEFT(Table2[[#This Row],[Branch]],1),"/", RIGHT(YEAR(TODAY()),2), "/",Table2[[#This Row],[Seq. Number]])</f>
        <v>Q/A/H/26/1398</v>
      </c>
      <c r="F1225" s="3" t="str">
        <v>Arados Shipping</v>
      </c>
      <c r="I1225" s="3" t="str">
        <v>GC</v>
      </c>
      <c r="J1225" s="3" t="str">
        <v>Direct</v>
      </c>
    </row>
    <row r="1226">
      <c r="A1226" s="3">
        <v>45990</v>
      </c>
      <c r="B1226" s="3" t="str">
        <v>N:New Quotation</v>
      </c>
      <c r="C1226" s="3" t="str">
        <v>P:P&amp;I</v>
      </c>
      <c r="D1226" s="3">
        <f>D1225+1</f>
        <v>1399</v>
      </c>
      <c r="E1226" s="3" t="str">
        <f>CONCAT("Q","/",LEFT(Table2[[#This Row],[Quotation Type]],1),"/", LEFT(Table2[[#This Row],[Branch]],1),"/", RIGHT(YEAR(TODAY()),2), "/",Table2[[#This Row],[Seq. Number]])</f>
        <v>Q/N/P/26/1399</v>
      </c>
      <c r="G1226" s="3" t="str">
        <v>Poseidon</v>
      </c>
      <c r="I1226" s="3" t="str">
        <v>GC</v>
      </c>
      <c r="J1226" s="3" t="str">
        <v>Profinsure</v>
      </c>
    </row>
    <row r="1227">
      <c r="A1227" s="3">
        <v>45993</v>
      </c>
      <c r="B1227" s="3" t="str">
        <v>N:New Quotation</v>
      </c>
      <c r="C1227" s="3" t="str">
        <v>H:Hull</v>
      </c>
      <c r="D1227" s="3">
        <f>D1226+1</f>
        <v>1400</v>
      </c>
      <c r="E1227" s="3" t="str">
        <f>CONCAT("Q","/",LEFT(Table2[[#This Row],[Quotation Type]],1),"/", LEFT(Table2[[#This Row],[Branch]],1),"/", RIGHT(YEAR(TODAY()),2), "/",Table2[[#This Row],[Seq. Number]])</f>
        <v>Q/N/H/26/1400</v>
      </c>
      <c r="G1227" s="3" t="str">
        <v>The Emerald</v>
      </c>
      <c r="I1227" s="3" t="str">
        <v>GC</v>
      </c>
      <c r="J1227" s="3" t="str">
        <v>Apex</v>
      </c>
    </row>
    <row r="1228">
      <c r="A1228" s="3">
        <v>45994</v>
      </c>
      <c r="B1228" s="3" t="str">
        <v>R:Renewal</v>
      </c>
      <c r="C1228" s="3" t="str">
        <v>P:P&amp;I</v>
      </c>
      <c r="D1228" s="3">
        <f>D1227+1</f>
        <v>1401</v>
      </c>
      <c r="E1228" s="3" t="str">
        <f>CONCAT("Q","/",LEFT(Table2[[#This Row],[Quotation Type]],1),"/", LEFT(Table2[[#This Row],[Branch]],1),"/", RIGHT(YEAR(TODAY()),2), "/",Table2[[#This Row],[Seq. Number]])</f>
        <v>Q/R/P/26/1401</v>
      </c>
      <c r="G1228" s="3" t="str">
        <v>Star Light</v>
      </c>
      <c r="I1228" s="3" t="str">
        <v>GC</v>
      </c>
      <c r="J1228" s="3" t="str">
        <v>Observator</v>
      </c>
    </row>
    <row r="1229">
      <c r="A1229" s="3">
        <v>45995</v>
      </c>
      <c r="B1229" s="3" t="str">
        <v>R:Renewal</v>
      </c>
      <c r="C1229" s="3" t="str">
        <v>P:P&amp;I</v>
      </c>
      <c r="D1229" s="3">
        <f>D1228+1</f>
        <v>1402</v>
      </c>
      <c r="E1229" s="3" t="str">
        <f>CONCAT("Q","/",LEFT(Table2[[#This Row],[Quotation Type]],1),"/", LEFT(Table2[[#This Row],[Branch]],1),"/", RIGHT(YEAR(TODAY()),2), "/",Table2[[#This Row],[Seq. Number]])</f>
        <v>Q/R/P/26/1402</v>
      </c>
      <c r="G1229" s="3" t="str">
        <v>Maysa</v>
      </c>
      <c r="I1229" s="3" t="str">
        <v>GC</v>
      </c>
      <c r="J1229" s="3" t="str">
        <v>Direct</v>
      </c>
    </row>
    <row r="1230">
      <c r="A1230" s="3">
        <v>45995</v>
      </c>
      <c r="B1230" s="3" t="str">
        <v>N:New Quotation</v>
      </c>
      <c r="C1230" s="3" t="str">
        <v>H:Hull</v>
      </c>
      <c r="D1230" s="3">
        <f>D1229+1</f>
        <v>1403</v>
      </c>
      <c r="E1230" s="3" t="str">
        <f>CONCAT("Q","/",LEFT(Table2[[#This Row],[Quotation Type]],1),"/", LEFT(Table2[[#This Row],[Branch]],1),"/", RIGHT(YEAR(TODAY()),2), "/",Table2[[#This Row],[Seq. Number]])</f>
        <v>Q/N/H/26/1403</v>
      </c>
      <c r="G1230" s="3" t="str">
        <v xml:space="preserve">Eos Express </v>
      </c>
      <c r="I1230" s="3" t="str">
        <v>Crew&amp; Service Boat</v>
      </c>
      <c r="J1230" s="3" t="str">
        <v>IPIC</v>
      </c>
    </row>
    <row r="1231">
      <c r="A1231" s="3">
        <v>45995</v>
      </c>
      <c r="B1231" s="3" t="str">
        <v>A:Addition</v>
      </c>
      <c r="C1231" s="3" t="str">
        <v>H:Hull</v>
      </c>
      <c r="D1231" s="3">
        <f>D1230+1</f>
        <v>1404</v>
      </c>
      <c r="E1231" s="3" t="str">
        <f>CONCAT("Q","/",LEFT(Table2[[#This Row],[Quotation Type]],1),"/", LEFT(Table2[[#This Row],[Branch]],1),"/", RIGHT(YEAR(TODAY()),2), "/",Table2[[#This Row],[Seq. Number]])</f>
        <v>Q/A/H/26/1404</v>
      </c>
      <c r="G1231" s="3" t="str">
        <v xml:space="preserve">Efe Shipping </v>
      </c>
      <c r="I1231" s="3" t="str">
        <v>GC</v>
      </c>
      <c r="J1231" s="3" t="str">
        <v>Kuzey</v>
      </c>
    </row>
    <row r="1232">
      <c r="A1232" s="3">
        <v>45996</v>
      </c>
      <c r="B1232" s="3" t="str">
        <v>R:Renewal</v>
      </c>
      <c r="C1232" s="3" t="str">
        <v>H:Hull</v>
      </c>
      <c r="D1232" s="3">
        <f>D1231+1</f>
        <v>1405</v>
      </c>
      <c r="E1232" s="3" t="str">
        <f>CONCAT("Q","/",LEFT(Table2[[#This Row],[Quotation Type]],1),"/", LEFT(Table2[[#This Row],[Branch]],1),"/", RIGHT(YEAR(TODAY()),2), "/",Table2[[#This Row],[Seq. Number]])</f>
        <v>Q/R/H/26/1405</v>
      </c>
      <c r="G1232" s="3" t="str">
        <v>Oceanus M</v>
      </c>
      <c r="I1232" s="3" t="str">
        <v>Tug</v>
      </c>
      <c r="J1232" s="3" t="str">
        <v>SSS</v>
      </c>
    </row>
    <row r="1233">
      <c r="A1233" s="3">
        <v>45996</v>
      </c>
      <c r="B1233" s="3" t="str">
        <v>R:Renewal</v>
      </c>
      <c r="C1233" s="3" t="str">
        <v>P:P&amp;I</v>
      </c>
      <c r="D1233" s="3">
        <f>D1232+1</f>
        <v>1406</v>
      </c>
      <c r="E1233" s="3" t="str">
        <f>CONCAT("Q","/",LEFT(Table2[[#This Row],[Quotation Type]],1),"/", LEFT(Table2[[#This Row],[Branch]],1),"/", RIGHT(YEAR(TODAY()),2), "/",Table2[[#This Row],[Seq. Number]])</f>
        <v>Q/R/P/26/1406</v>
      </c>
      <c r="G1233" s="3" t="str">
        <v>Oceanus M</v>
      </c>
      <c r="I1233" s="3" t="str">
        <v>Tug</v>
      </c>
      <c r="J1233" s="3" t="str">
        <v>SSS</v>
      </c>
    </row>
    <row r="1234">
      <c r="A1234" s="3">
        <v>45996</v>
      </c>
      <c r="B1234" s="3" t="str">
        <v>R:Renewal</v>
      </c>
      <c r="C1234" s="3" t="str">
        <v>P:P&amp;I</v>
      </c>
      <c r="D1234" s="3">
        <f>D1233+1</f>
        <v>1407</v>
      </c>
      <c r="E1234" s="3" t="str">
        <f>CONCAT("Q","/",LEFT(Table2[[#This Row],[Quotation Type]],1),"/", LEFT(Table2[[#This Row],[Branch]],1),"/", RIGHT(YEAR(TODAY()),2), "/",Table2[[#This Row],[Seq. Number]])</f>
        <v>Q/R/P/26/1407</v>
      </c>
      <c r="G1234" s="3" t="str">
        <v>Kubrosli-Y</v>
      </c>
      <c r="I1234" s="3" t="str">
        <v>GC</v>
      </c>
      <c r="J1234" s="3" t="str">
        <v>Yamak Agency</v>
      </c>
    </row>
    <row r="1235">
      <c r="A1235" s="3">
        <v>45996</v>
      </c>
      <c r="B1235" s="3" t="str">
        <v>R:Renewal</v>
      </c>
      <c r="C1235" s="3" t="str">
        <v>P:P&amp;I</v>
      </c>
      <c r="D1235" s="3">
        <f>D1234+1</f>
        <v>1408</v>
      </c>
      <c r="E1235" s="3" t="str">
        <f>CONCAT("Q","/",LEFT(Table2[[#This Row],[Quotation Type]],1),"/", LEFT(Table2[[#This Row],[Branch]],1),"/", RIGHT(YEAR(TODAY()),2), "/",Table2[[#This Row],[Seq. Number]])</f>
        <v>Q/R/P/26/1408</v>
      </c>
      <c r="G1235" s="3" t="str">
        <v>Moayad Y</v>
      </c>
      <c r="I1235" s="3" t="str">
        <v>BC</v>
      </c>
      <c r="J1235" s="3" t="str">
        <v>Yamak Agency</v>
      </c>
    </row>
    <row r="1236">
      <c r="A1236" s="3">
        <v>45996</v>
      </c>
      <c r="B1236" s="3" t="str">
        <v>R:Renewal</v>
      </c>
      <c r="C1236" s="3" t="str">
        <v>H:Hull</v>
      </c>
      <c r="D1236" s="3">
        <f>D1235+1</f>
        <v>1409</v>
      </c>
      <c r="E1236" s="3" t="str">
        <f>CONCAT("Q","/",LEFT(Table2[[#This Row],[Quotation Type]],1),"/", LEFT(Table2[[#This Row],[Branch]],1),"/", RIGHT(YEAR(TODAY()),2), "/",Table2[[#This Row],[Seq. Number]])</f>
        <v>Q/R/H/26/1409</v>
      </c>
      <c r="G1236" s="3" t="str">
        <v>Moayad Y</v>
      </c>
      <c r="I1236" s="3" t="str">
        <v>BC</v>
      </c>
      <c r="J1236" s="3" t="str">
        <v>Yamak Agency</v>
      </c>
    </row>
    <row r="1237">
      <c r="A1237" s="3">
        <v>45996</v>
      </c>
      <c r="B1237" s="3" t="str">
        <v>R:Renewal</v>
      </c>
      <c r="C1237" s="3" t="str">
        <v>P:P&amp;I</v>
      </c>
      <c r="D1237" s="3">
        <f>D1236+1</f>
        <v>1410</v>
      </c>
      <c r="E1237" s="3" t="str">
        <f>CONCAT("Q","/",LEFT(Table2[[#This Row],[Quotation Type]],1),"/", LEFT(Table2[[#This Row],[Branch]],1),"/", RIGHT(YEAR(TODAY()),2), "/",Table2[[#This Row],[Seq. Number]])</f>
        <v>Q/R/P/26/1410</v>
      </c>
      <c r="G1237" s="3" t="str">
        <v>Mohamad Y</v>
      </c>
      <c r="I1237" s="3" t="str">
        <v>GC</v>
      </c>
      <c r="J1237" s="3" t="str">
        <v>Yamak Agency</v>
      </c>
    </row>
    <row r="1238">
      <c r="A1238" s="3">
        <v>45996</v>
      </c>
      <c r="B1238" s="3" t="str">
        <v>R:Renewal</v>
      </c>
      <c r="C1238" s="3" t="str">
        <v>P:P&amp;I</v>
      </c>
      <c r="D1238" s="3">
        <f>D1237+1</f>
        <v>1411</v>
      </c>
      <c r="E1238" s="3" t="str">
        <f>CONCAT("Q","/",LEFT(Table2[[#This Row],[Quotation Type]],1),"/", LEFT(Table2[[#This Row],[Branch]],1),"/", RIGHT(YEAR(TODAY()),2), "/",Table2[[#This Row],[Seq. Number]])</f>
        <v>Q/R/P/26/1411</v>
      </c>
      <c r="G1238" s="3" t="str">
        <v>Roz Y</v>
      </c>
      <c r="I1238" s="3" t="str">
        <v>GC</v>
      </c>
      <c r="J1238" s="3" t="str">
        <v>Yamak Agency</v>
      </c>
    </row>
    <row r="1239">
      <c r="A1239" s="3">
        <v>45996</v>
      </c>
      <c r="B1239" s="3" t="str">
        <v>R:Renewal</v>
      </c>
      <c r="C1239" s="3" t="str">
        <v>P:P&amp;I</v>
      </c>
      <c r="D1239" s="3">
        <f>D1238+1</f>
        <v>1412</v>
      </c>
      <c r="E1239" s="3" t="str">
        <f>CONCAT("Q","/",LEFT(Table2[[#This Row],[Quotation Type]],1),"/", LEFT(Table2[[#This Row],[Branch]],1),"/", RIGHT(YEAR(TODAY()),2), "/",Table2[[#This Row],[Seq. Number]])</f>
        <v>Q/R/P/26/1412</v>
      </c>
      <c r="G1239" s="3" t="str">
        <v>Zeko Y</v>
      </c>
      <c r="I1239" s="3" t="str">
        <v>GC</v>
      </c>
      <c r="J1239" s="3" t="str">
        <v>Yamak Agency</v>
      </c>
    </row>
    <row r="1240">
      <c r="A1240" s="3">
        <v>45996</v>
      </c>
      <c r="B1240" s="3" t="str">
        <v>R:Renewal</v>
      </c>
      <c r="C1240" s="3" t="str">
        <v>P:P&amp;I</v>
      </c>
      <c r="D1240" s="3">
        <f>D1239+1</f>
        <v>1413</v>
      </c>
      <c r="E1240" s="3" t="str">
        <f>CONCAT("Q","/",LEFT(Table2[[#This Row],[Quotation Type]],1),"/", LEFT(Table2[[#This Row],[Branch]],1),"/", RIGHT(YEAR(TODAY()),2), "/",Table2[[#This Row],[Seq. Number]])</f>
        <v>Q/R/P/26/1413</v>
      </c>
      <c r="G1240" s="3" t="str">
        <v>GMA Sultan</v>
      </c>
      <c r="I1240" s="3" t="str">
        <v>GC</v>
      </c>
      <c r="J1240" s="3" t="str">
        <v>JMM Maritime Co. S.A.</v>
      </c>
    </row>
    <row r="1241">
      <c r="A1241" s="3">
        <v>46000</v>
      </c>
      <c r="B1241" s="3" t="str">
        <v>R:Renewal</v>
      </c>
      <c r="C1241" s="3" t="str">
        <v>P:P&amp;I</v>
      </c>
      <c r="D1241" s="3">
        <f>D1240+1</f>
        <v>1414</v>
      </c>
      <c r="E1241" s="3" t="str">
        <f>CONCAT("Q","/",LEFT(Table2[[#This Row],[Quotation Type]],1),"/", LEFT(Table2[[#This Row],[Branch]],1),"/", RIGHT(YEAR(TODAY()),2), "/",Table2[[#This Row],[Seq. Number]])</f>
        <v>Q/R/P/26/1414</v>
      </c>
      <c r="G1241" s="3" t="str">
        <v>MF Breeze</v>
      </c>
      <c r="I1241" s="3" t="str">
        <v>GC</v>
      </c>
      <c r="J1241" s="3" t="str">
        <v>Yamak Shipping</v>
      </c>
    </row>
    <row r="1242">
      <c r="A1242" s="3">
        <v>46000</v>
      </c>
      <c r="B1242" s="3" t="str">
        <v>R:Renewal</v>
      </c>
      <c r="C1242" s="3" t="str">
        <v>H:Hull</v>
      </c>
      <c r="D1242" s="3">
        <f>D1241+1</f>
        <v>1415</v>
      </c>
      <c r="E1242" s="3" t="str">
        <f>CONCAT("Q","/",LEFT(Table2[[#This Row],[Quotation Type]],1),"/", LEFT(Table2[[#This Row],[Branch]],1),"/", RIGHT(YEAR(TODAY()),2), "/",Table2[[#This Row],[Seq. Number]])</f>
        <v>Q/R/H/26/1415</v>
      </c>
      <c r="G1242" s="3" t="str">
        <v>MF Breeze</v>
      </c>
      <c r="I1242" s="3" t="str">
        <v>GC</v>
      </c>
      <c r="J1242" s="3" t="str">
        <v>Yamak Shipping</v>
      </c>
    </row>
    <row r="1243">
      <c r="A1243" s="3">
        <v>46000</v>
      </c>
      <c r="B1243" s="3" t="str">
        <v>R:Renewal</v>
      </c>
      <c r="C1243" s="3" t="str">
        <v>P:P&amp;I</v>
      </c>
      <c r="D1243" s="3">
        <f>D1242+1</f>
        <v>1416</v>
      </c>
      <c r="E1243" s="3" t="str">
        <f>CONCAT("Q","/",LEFT(Table2[[#This Row],[Quotation Type]],1),"/", LEFT(Table2[[#This Row],[Branch]],1),"/", RIGHT(YEAR(TODAY()),2), "/",Table2[[#This Row],[Seq. Number]])</f>
        <v>Q/R/P/26/1416</v>
      </c>
      <c r="F1243" s="3" t="str">
        <v>Karazi Shipping</v>
      </c>
      <c r="G1243" s="3" t="str">
        <v>Karazi Shipping(Omega Star / Gamma Star/Karazi)</v>
      </c>
      <c r="I1243" s="3" t="str">
        <v>MLV</v>
      </c>
      <c r="J1243" s="3" t="str">
        <v>Direct</v>
      </c>
    </row>
    <row r="1244">
      <c r="A1244" s="3">
        <v>46000</v>
      </c>
      <c r="B1244" s="3" t="str">
        <v>R:Renewal</v>
      </c>
      <c r="C1244" s="3" t="str">
        <v>H:Hull</v>
      </c>
      <c r="D1244" s="3">
        <f>D1243+1</f>
        <v>1417</v>
      </c>
      <c r="E1244" s="3" t="str">
        <f>CONCAT("Q","/",LEFT(Table2[[#This Row],[Quotation Type]],1),"/", LEFT(Table2[[#This Row],[Branch]],1),"/", RIGHT(YEAR(TODAY()),2), "/",Table2[[#This Row],[Seq. Number]])</f>
        <v>Q/R/H/26/1417</v>
      </c>
      <c r="F1244" s="3" t="str">
        <v>Karazi Shipping</v>
      </c>
      <c r="G1244" s="3" t="str">
        <v>Karazi Shipping(Omega Star / Gamma Star/Karazi/Epsilon K)</v>
      </c>
      <c r="I1244" s="3" t="str">
        <v>MLV</v>
      </c>
      <c r="J1244" s="3" t="str">
        <v>Direct</v>
      </c>
    </row>
    <row r="1245">
      <c r="A1245" s="3">
        <v>46000</v>
      </c>
      <c r="B1245" s="3" t="str">
        <v>R:Renewal</v>
      </c>
      <c r="C1245" s="3" t="str">
        <v>P:P&amp;I</v>
      </c>
      <c r="D1245" s="3">
        <f>D1244+1</f>
        <v>1418</v>
      </c>
      <c r="E1245" s="3" t="str">
        <f>CONCAT("Q","/",LEFT(Table2[[#This Row],[Quotation Type]],1),"/", LEFT(Table2[[#This Row],[Branch]],1),"/", RIGHT(YEAR(TODAY()),2), "/",Table2[[#This Row],[Seq. Number]])</f>
        <v>Q/R/P/26/1418</v>
      </c>
      <c r="G1245" s="3" t="str">
        <v>Hassan-Y</v>
      </c>
      <c r="I1245" s="3" t="str">
        <v>GC</v>
      </c>
      <c r="J1245" s="3" t="str">
        <v>Yamak Shipping</v>
      </c>
    </row>
    <row r="1246">
      <c r="A1246" s="3">
        <v>46000</v>
      </c>
      <c r="B1246" s="3" t="str">
        <v>R:Renewal</v>
      </c>
      <c r="C1246" s="3" t="str">
        <v>H:Hull</v>
      </c>
      <c r="D1246" s="3">
        <f>D1245+1</f>
        <v>1419</v>
      </c>
      <c r="E1246" s="3" t="str">
        <f>CONCAT("Q","/",LEFT(Table2[[#This Row],[Quotation Type]],1),"/", LEFT(Table2[[#This Row],[Branch]],1),"/", RIGHT(YEAR(TODAY()),2), "/",Table2[[#This Row],[Seq. Number]])</f>
        <v>Q/R/H/26/1419</v>
      </c>
      <c r="G1246" s="3" t="str">
        <v>Hassan-Y</v>
      </c>
      <c r="I1246" s="3" t="str">
        <v>GC</v>
      </c>
      <c r="J1246" s="3" t="str">
        <v>Yamak Shipping</v>
      </c>
    </row>
    <row r="1247">
      <c r="A1247" s="3">
        <v>46000</v>
      </c>
      <c r="B1247" s="3" t="str">
        <v>A:Addition</v>
      </c>
      <c r="C1247" s="3" t="str">
        <v>P:P&amp;I</v>
      </c>
      <c r="D1247" s="3">
        <f>D1246+1</f>
        <v>1420</v>
      </c>
      <c r="E1247" s="3" t="str">
        <f>CONCAT("Q","/",LEFT(Table2[[#This Row],[Quotation Type]],1),"/", LEFT(Table2[[#This Row],[Branch]],1),"/", RIGHT(YEAR(TODAY()),2), "/",Table2[[#This Row],[Seq. Number]])</f>
        <v>Q/A/P/26/1420</v>
      </c>
      <c r="G1247" s="3" t="str">
        <v>Adel</v>
      </c>
      <c r="I1247" s="3" t="str">
        <v>MLV</v>
      </c>
      <c r="J1247" s="3" t="str">
        <v>Direct</v>
      </c>
    </row>
    <row r="1248">
      <c r="A1248" s="3">
        <v>46000</v>
      </c>
      <c r="B1248" s="3" t="str">
        <v>N:New Quotation</v>
      </c>
      <c r="C1248" s="3" t="str">
        <v>P:P&amp;I</v>
      </c>
      <c r="D1248" s="3">
        <f>D1247+1</f>
        <v>1421</v>
      </c>
      <c r="E1248" s="3" t="str">
        <f>CONCAT("Q","/",LEFT(Table2[[#This Row],[Quotation Type]],1),"/", LEFT(Table2[[#This Row],[Branch]],1),"/", RIGHT(YEAR(TODAY()),2), "/",Table2[[#This Row],[Seq. Number]])</f>
        <v>Q/N/P/26/1421</v>
      </c>
      <c r="F1248" s="3" t="str">
        <v>Modern Building Leaders</v>
      </c>
      <c r="I1248" s="3" t="str">
        <v>Various</v>
      </c>
      <c r="J1248" s="3" t="str">
        <v>Ferrari</v>
      </c>
    </row>
    <row r="1249">
      <c r="A1249" s="3">
        <v>46003</v>
      </c>
      <c r="B1249" s="3" t="str">
        <v>R:Renewal</v>
      </c>
      <c r="C1249" s="3" t="str">
        <v>P:P&amp;I</v>
      </c>
      <c r="D1249" s="3">
        <f>D1248+1</f>
        <v>1422</v>
      </c>
      <c r="E1249" s="3" t="str">
        <f>CONCAT("Q","/",LEFT(Table2[[#This Row],[Quotation Type]],1),"/", LEFT(Table2[[#This Row],[Branch]],1),"/", RIGHT(YEAR(TODAY()),2), "/",Table2[[#This Row],[Seq. Number]])</f>
        <v>Q/R/P/26/1422</v>
      </c>
      <c r="G1249" s="3" t="str">
        <v>Hamid S</v>
      </c>
      <c r="I1249" s="3" t="str">
        <v>GC</v>
      </c>
      <c r="J1249" s="3" t="str">
        <v>Direct</v>
      </c>
    </row>
    <row r="1250">
      <c r="A1250" s="3">
        <v>46003</v>
      </c>
      <c r="B1250" s="3" t="str">
        <v>N:New Quotation</v>
      </c>
      <c r="C1250" s="3" t="str">
        <v>H:Hull</v>
      </c>
      <c r="D1250" s="3">
        <f>D1249+1</f>
        <v>1423</v>
      </c>
      <c r="E1250" s="3" t="str">
        <f>CONCAT("Q","/",LEFT(Table2[[#This Row],[Quotation Type]],1),"/", LEFT(Table2[[#This Row],[Branch]],1),"/", RIGHT(YEAR(TODAY()),2), "/",Table2[[#This Row],[Seq. Number]])</f>
        <v>Q/N/H/26/1423</v>
      </c>
      <c r="G1250" s="3" t="str">
        <v>GS 1905</v>
      </c>
      <c r="I1250" s="3" t="str">
        <v>Crew Boat</v>
      </c>
      <c r="J1250" s="3" t="str">
        <v>Profinsure</v>
      </c>
    </row>
    <row r="1251">
      <c r="A1251" s="3">
        <v>46003</v>
      </c>
      <c r="B1251" s="3" t="str">
        <v>N:New Quotation</v>
      </c>
      <c r="C1251" s="3" t="str">
        <v>P:P&amp;I</v>
      </c>
      <c r="D1251" s="3">
        <f>D1250+1</f>
        <v>1424</v>
      </c>
      <c r="E1251" s="3" t="str">
        <f>CONCAT("Q","/",LEFT(Table2[[#This Row],[Quotation Type]],1),"/", LEFT(Table2[[#This Row],[Branch]],1),"/", RIGHT(YEAR(TODAY()),2), "/",Table2[[#This Row],[Seq. Number]])</f>
        <v>Q/N/P/26/1424</v>
      </c>
      <c r="G1251" s="3" t="str">
        <v>Honest 1</v>
      </c>
      <c r="I1251" s="3" t="str">
        <v>GC</v>
      </c>
      <c r="J1251" s="3" t="str">
        <v>Mesco</v>
      </c>
    </row>
    <row r="1252">
      <c r="A1252" s="3">
        <v>46008</v>
      </c>
      <c r="B1252" s="3" t="str">
        <v>R:Renewal</v>
      </c>
      <c r="C1252" s="3" t="str">
        <v>W:War</v>
      </c>
      <c r="D1252" s="3">
        <f>D1251+1</f>
        <v>1425</v>
      </c>
      <c r="E1252" s="3" t="str">
        <f>CONCAT("Q","/",LEFT(Table2[[#This Row],[Quotation Type]],1),"/", LEFT(Table2[[#This Row],[Branch]],1),"/", RIGHT(YEAR(TODAY()),2), "/",Table2[[#This Row],[Seq. Number]])</f>
        <v>Q/R/W/26/1425</v>
      </c>
      <c r="G1252" s="3" t="str">
        <v>BRITTA K</v>
      </c>
      <c r="I1252" s="3" t="str">
        <v>MLV</v>
      </c>
      <c r="J1252" s="3" t="str">
        <v>Direct</v>
      </c>
    </row>
    <row r="1253">
      <c r="A1253" s="3">
        <v>46008</v>
      </c>
      <c r="B1253" s="3" t="str">
        <v>R:Renewal</v>
      </c>
      <c r="C1253" s="3" t="str">
        <v>H:Hull</v>
      </c>
      <c r="D1253" s="3">
        <f>D1252+1</f>
        <v>1426</v>
      </c>
      <c r="E1253" s="3" t="str">
        <f>CONCAT("Q","/",LEFT(Table2[[#This Row],[Quotation Type]],1),"/", LEFT(Table2[[#This Row],[Branch]],1),"/", RIGHT(YEAR(TODAY()),2), "/",Table2[[#This Row],[Seq. Number]])</f>
        <v>Q/R/H/26/1426</v>
      </c>
      <c r="G1253" s="3" t="str">
        <v>ZAMZAM A</v>
      </c>
      <c r="I1253" s="3" t="str">
        <v>GC</v>
      </c>
      <c r="J1253" s="3" t="str">
        <v>Brandenburg</v>
      </c>
    </row>
    <row r="1254">
      <c r="A1254" s="3">
        <v>46008</v>
      </c>
      <c r="B1254" s="3" t="str">
        <v>R:Renewal</v>
      </c>
      <c r="C1254" s="3" t="str">
        <v>H:Hull</v>
      </c>
      <c r="D1254" s="3">
        <f>D1253+1</f>
        <v>1427</v>
      </c>
      <c r="E1254" s="3" t="str">
        <f>CONCAT("Q","/",LEFT(Table2[[#This Row],[Quotation Type]],1),"/", LEFT(Table2[[#This Row],[Branch]],1),"/", RIGHT(YEAR(TODAY()),2), "/",Table2[[#This Row],[Seq. Number]])</f>
        <v>Q/R/H/26/1427</v>
      </c>
      <c r="F1254" s="3" t="str">
        <v>MYKONOS LINES</v>
      </c>
      <c r="G1254" s="3" t="str">
        <v>MYKONOS I, II, III</v>
      </c>
      <c r="I1254" s="3" t="str">
        <v>GC</v>
      </c>
      <c r="J1254" s="3" t="str">
        <v>Velos</v>
      </c>
    </row>
    <row r="1255">
      <c r="A1255" s="3">
        <v>46010</v>
      </c>
      <c r="B1255" s="3" t="str">
        <v>A:Addition</v>
      </c>
      <c r="C1255" s="3" t="str">
        <v>H:Hull</v>
      </c>
      <c r="D1255" s="3">
        <f>D1254+1</f>
        <v>1428</v>
      </c>
      <c r="E1255" s="3" t="str">
        <f>CONCAT("Q","/",LEFT(Table2[[#This Row],[Quotation Type]],1),"/", LEFT(Table2[[#This Row],[Branch]],1),"/", RIGHT(YEAR(TODAY()),2), "/",Table2[[#This Row],[Seq. Number]])</f>
        <v>Q/A/H/26/1428</v>
      </c>
      <c r="G1255" s="3" t="str">
        <v>Atlas</v>
      </c>
      <c r="I1255" s="3" t="str">
        <v>GC</v>
      </c>
      <c r="J1255" s="3" t="str">
        <v>Mesco</v>
      </c>
    </row>
    <row r="1256">
      <c r="A1256" s="3">
        <v>46010</v>
      </c>
      <c r="B1256" s="3" t="str">
        <v>N:New Quotation</v>
      </c>
      <c r="C1256" s="3" t="str">
        <v>P:P&amp;I</v>
      </c>
      <c r="D1256" s="3">
        <f>D1255+1</f>
        <v>1429</v>
      </c>
      <c r="E1256" s="3" t="str">
        <f>CONCAT("Q","/",LEFT(Table2[[#This Row],[Quotation Type]],1),"/", LEFT(Table2[[#This Row],[Branch]],1),"/", RIGHT(YEAR(TODAY()),2), "/",Table2[[#This Row],[Seq. Number]])</f>
        <v>Q/N/P/26/1429</v>
      </c>
      <c r="G1256" s="3" t="str">
        <v>Elena</v>
      </c>
      <c r="I1256" s="3" t="str">
        <v>MLV</v>
      </c>
      <c r="J1256" s="3" t="str">
        <v>Observator</v>
      </c>
    </row>
    <row r="1257">
      <c r="A1257" s="3">
        <v>46014</v>
      </c>
      <c r="B1257" s="3" t="str">
        <v>N:New Quotation</v>
      </c>
      <c r="C1257" s="3" t="str">
        <v>P:P&amp;I</v>
      </c>
      <c r="D1257" s="3">
        <f>D1256+1</f>
        <v>1430</v>
      </c>
      <c r="E1257" s="3" t="str">
        <f>CONCAT("Q","/",LEFT(Table2[[#This Row],[Quotation Type]],1),"/", LEFT(Table2[[#This Row],[Branch]],1),"/", RIGHT(YEAR(TODAY()),2), "/",Table2[[#This Row],[Seq. Number]])</f>
        <v>Q/N/P/26/1430</v>
      </c>
      <c r="G1257" s="3" t="str">
        <v>Karam K</v>
      </c>
      <c r="I1257" s="3" t="str">
        <v>GC</v>
      </c>
      <c r="J1257" s="3" t="str">
        <v>Stigma</v>
      </c>
    </row>
    <row r="1258">
      <c r="A1258" s="3">
        <v>46014</v>
      </c>
      <c r="B1258" s="3" t="str">
        <v>N:New Quotation</v>
      </c>
      <c r="C1258" s="3" t="str">
        <v>H:Hull</v>
      </c>
      <c r="D1258" s="3">
        <f>D1257+1</f>
        <v>1431</v>
      </c>
      <c r="E1258" s="3" t="str">
        <f>CONCAT("Q","/",LEFT(Table2[[#This Row],[Quotation Type]],1),"/", LEFT(Table2[[#This Row],[Branch]],1),"/", RIGHT(YEAR(TODAY()),2), "/",Table2[[#This Row],[Seq. Number]])</f>
        <v>Q/N/H/26/1431</v>
      </c>
      <c r="G1258" s="3" t="str">
        <v>Afamia Star</v>
      </c>
      <c r="I1258" s="3" t="str">
        <v>GC</v>
      </c>
      <c r="J1258" s="3" t="str">
        <v>Mesco</v>
      </c>
    </row>
    <row r="1259">
      <c r="A1259" s="3">
        <v>46014</v>
      </c>
      <c r="B1259" s="3" t="str">
        <v>N:New Quotation</v>
      </c>
      <c r="C1259" s="3" t="str">
        <v>H:Hull</v>
      </c>
      <c r="D1259" s="3">
        <f>D1258+1</f>
        <v>1432</v>
      </c>
      <c r="E1259" s="3" t="str">
        <f>CONCAT("Q","/",LEFT(Table2[[#This Row],[Quotation Type]],1),"/", LEFT(Table2[[#This Row],[Branch]],1),"/", RIGHT(YEAR(TODAY()),2), "/",Table2[[#This Row],[Seq. Number]])</f>
        <v>Q/N/H/26/1432</v>
      </c>
      <c r="G1259" s="3" t="str">
        <v>Afamia Star</v>
      </c>
      <c r="I1259" s="3" t="str">
        <v>GC</v>
      </c>
      <c r="J1259" s="3" t="str">
        <v>Mesco</v>
      </c>
    </row>
    <row r="1260">
      <c r="A1260" s="3">
        <v>46017</v>
      </c>
      <c r="B1260" s="3" t="str">
        <v>R:Renewal</v>
      </c>
      <c r="C1260" s="3" t="str">
        <v>P:P&amp;I</v>
      </c>
      <c r="D1260" s="3">
        <f>D1259+1</f>
        <v>1433</v>
      </c>
      <c r="E1260" s="3" t="str">
        <f>CONCAT("Q","/",LEFT(Table2[[#This Row],[Quotation Type]],1),"/", LEFT(Table2[[#This Row],[Branch]],1),"/", RIGHT(YEAR(TODAY()),2), "/",Table2[[#This Row],[Seq. Number]])</f>
        <v>Q/R/P/26/1433</v>
      </c>
      <c r="G1260" s="3" t="str">
        <v>Set Ship Management</v>
      </c>
      <c r="I1260" s="3" t="str">
        <v>GC</v>
      </c>
      <c r="J1260" s="3" t="str">
        <v>Kuzey</v>
      </c>
    </row>
    <row r="1261">
      <c r="A1261" s="3">
        <v>46017</v>
      </c>
      <c r="B1261" s="3" t="str">
        <v>R:Renewal</v>
      </c>
      <c r="C1261" s="3" t="str">
        <v>H:Hull</v>
      </c>
      <c r="D1261" s="3">
        <f>D1260+1</f>
        <v>1434</v>
      </c>
      <c r="E1261" s="3" t="str">
        <f>CONCAT("Q","/",LEFT(Table2[[#This Row],[Quotation Type]],1),"/", LEFT(Table2[[#This Row],[Branch]],1),"/", RIGHT(YEAR(TODAY()),2), "/",Table2[[#This Row],[Seq. Number]])</f>
        <v>Q/R/H/26/1434</v>
      </c>
      <c r="G1261" s="3" t="str">
        <v>Ensign Offshore Services LLC</v>
      </c>
      <c r="J1261" s="3" t="str">
        <v>IPIC</v>
      </c>
    </row>
    <row r="1262">
      <c r="A1262" s="3">
        <v>46020</v>
      </c>
      <c r="B1262" s="3" t="str">
        <v>R:Renewal</v>
      </c>
      <c r="C1262" s="3" t="str">
        <v>P:P&amp;I</v>
      </c>
      <c r="D1262" s="3">
        <f>D1261+1</f>
        <v>1435</v>
      </c>
      <c r="E1262" s="3" t="str">
        <f>CONCAT("Q","/",LEFT(Table2[[#This Row],[Quotation Type]],1),"/", LEFT(Table2[[#This Row],[Branch]],1),"/", RIGHT(YEAR(TODAY()),2), "/",Table2[[#This Row],[Seq. Number]])</f>
        <v>Q/R/P/26/1435</v>
      </c>
      <c r="G1262" s="3" t="str">
        <v>Amo Grande</v>
      </c>
      <c r="I1262" s="3" t="str">
        <v>GC</v>
      </c>
      <c r="J1262" s="3" t="str">
        <v>Kuzey</v>
      </c>
    </row>
    <row r="1263">
      <c r="A1263" s="3">
        <v>46021</v>
      </c>
      <c r="B1263" s="3" t="str">
        <v>R:Renewal</v>
      </c>
      <c r="C1263" s="3" t="str">
        <v>P:P&amp;I</v>
      </c>
      <c r="D1263" s="3">
        <f>D1262+1</f>
        <v>1436</v>
      </c>
      <c r="E1263" s="3" t="str">
        <f>CONCAT("Q","/",LEFT(Table2[[#This Row],[Quotation Type]],1),"/", LEFT(Table2[[#This Row],[Branch]],1),"/", RIGHT(YEAR(TODAY()),2), "/",Table2[[#This Row],[Seq. Number]])</f>
        <v>Q/R/P/26/1436</v>
      </c>
      <c r="G1263" s="3" t="str">
        <v>Astros</v>
      </c>
      <c r="I1263" s="3" t="str">
        <v>GC</v>
      </c>
      <c r="J1263" s="3" t="str">
        <v>Brandenburg</v>
      </c>
    </row>
    <row r="1264">
      <c r="A1264" s="3">
        <v>46021</v>
      </c>
      <c r="B1264" s="3" t="str">
        <v>N:New Quotation</v>
      </c>
      <c r="C1264" s="3" t="str">
        <v>H:Hull</v>
      </c>
      <c r="D1264" s="3">
        <f>D1263+1</f>
        <v>1437</v>
      </c>
      <c r="E1264" s="3" t="str">
        <f>CONCAT("Q","/",LEFT(Table2[[#This Row],[Quotation Type]],1),"/", LEFT(Table2[[#This Row],[Branch]],1),"/", RIGHT(YEAR(TODAY()),2), "/",Table2[[#This Row],[Seq. Number]])</f>
        <v>Q/N/H/26/1437</v>
      </c>
      <c r="G1264" s="3" t="str">
        <v>Golden Rio</v>
      </c>
      <c r="I1264" s="3" t="str">
        <v>MLV</v>
      </c>
      <c r="J1264" s="3" t="str">
        <v>Lockton Omni</v>
      </c>
    </row>
    <row r="1265">
      <c r="A1265" s="3">
        <v>46021</v>
      </c>
      <c r="B1265" s="3" t="str">
        <v>N:New Quotation</v>
      </c>
      <c r="C1265" s="3" t="str">
        <v>H:Hull</v>
      </c>
      <c r="D1265" s="3">
        <f>D1264+1</f>
        <v>1438</v>
      </c>
      <c r="E1265" s="3" t="str">
        <f>CONCAT("Q","/",LEFT(Table2[[#This Row],[Quotation Type]],1),"/", LEFT(Table2[[#This Row],[Branch]],1),"/", RIGHT(YEAR(TODAY()),2), "/",Table2[[#This Row],[Seq. Number]])</f>
        <v>Q/N/H/26/1438</v>
      </c>
      <c r="G1265" s="3" t="str">
        <v>Challenger B</v>
      </c>
      <c r="I1265" s="3" t="str">
        <v>BC</v>
      </c>
      <c r="J1265" s="3" t="str">
        <v>SSS</v>
      </c>
    </row>
    <row r="1266">
      <c r="A1266" s="3">
        <v>46022</v>
      </c>
      <c r="B1266" s="3" t="str">
        <v>N:New Quotation</v>
      </c>
      <c r="C1266" s="3" t="str">
        <v>P:P&amp;I</v>
      </c>
      <c r="D1266" s="3">
        <f>D1265+1</f>
        <v>1439</v>
      </c>
      <c r="E1266" s="3" t="str">
        <f>CONCAT("Q","/",LEFT(Table2[[#This Row],[Quotation Type]],1),"/", LEFT(Table2[[#This Row],[Branch]],1),"/", RIGHT(YEAR(TODAY()),2), "/",Table2[[#This Row],[Seq. Number]])</f>
        <v>Q/N/P/26/1439</v>
      </c>
      <c r="G1266" s="3" t="str">
        <v>Albero</v>
      </c>
      <c r="I1266" s="3" t="str">
        <v>GC</v>
      </c>
      <c r="J1266" s="3" t="str">
        <v>Ferrari</v>
      </c>
    </row>
    <row r="1267">
      <c r="A1267" s="3">
        <v>46027</v>
      </c>
      <c r="B1267" s="3" t="str">
        <v>R:Renewal</v>
      </c>
      <c r="C1267" s="3" t="str">
        <v>H:Hull</v>
      </c>
      <c r="D1267" s="3">
        <f>D1266+1</f>
        <v>1440</v>
      </c>
      <c r="E1267" s="3" t="str">
        <f>CONCAT("Q","/",LEFT(Table2[[#This Row],[Quotation Type]],1),"/", LEFT(Table2[[#This Row],[Branch]],1),"/", RIGHT(YEAR(TODAY()),2), "/",Table2[[#This Row],[Seq. Number]])</f>
        <v>Q/R/H/26/1440</v>
      </c>
      <c r="G1267" s="3" t="str">
        <v>Rider</v>
      </c>
      <c r="I1267" s="3" t="str">
        <v>GC</v>
      </c>
      <c r="J1267" s="3" t="str">
        <v>Direct</v>
      </c>
    </row>
    <row r="1268">
      <c r="A1268" s="3">
        <v>46027</v>
      </c>
      <c r="B1268" s="3" t="str">
        <v>R:Renewal</v>
      </c>
      <c r="C1268" s="3" t="str">
        <v>W:War</v>
      </c>
      <c r="D1268" s="3">
        <f>D1267+1</f>
        <v>1441</v>
      </c>
      <c r="E1268" s="3" t="str">
        <f>CONCAT("Q","/",LEFT(Table2[[#This Row],[Quotation Type]],1),"/", LEFT(Table2[[#This Row],[Branch]],1),"/", RIGHT(YEAR(TODAY()),2), "/",Table2[[#This Row],[Seq. Number]])</f>
        <v>Q/R/W/26/1441</v>
      </c>
      <c r="G1268" s="3" t="str">
        <v>Rider</v>
      </c>
      <c r="I1268" s="3" t="str">
        <v>GC</v>
      </c>
      <c r="J1268" s="3" t="str">
        <v>Direct</v>
      </c>
    </row>
    <row r="1269">
      <c r="A1269" s="3">
        <v>46027</v>
      </c>
      <c r="B1269" s="3" t="str">
        <v>R:Renewal</v>
      </c>
      <c r="C1269" s="3" t="str">
        <v>H:Hull</v>
      </c>
      <c r="D1269" s="3">
        <f>D1268+1</f>
        <v>1442</v>
      </c>
      <c r="E1269" s="3" t="str">
        <f>CONCAT("Q","/",LEFT(Table2[[#This Row],[Quotation Type]],1),"/", LEFT(Table2[[#This Row],[Branch]],1),"/", RIGHT(YEAR(TODAY()),2), "/",Table2[[#This Row],[Seq. Number]])</f>
        <v>Q/R/H/26/1442</v>
      </c>
      <c r="G1269" s="3" t="str">
        <v>MAK 1</v>
      </c>
      <c r="I1269" s="3" t="str">
        <v>BC</v>
      </c>
      <c r="J1269" s="3" t="str">
        <v>Sarnia</v>
      </c>
    </row>
    <row r="1270">
      <c r="A1270" s="3">
        <v>46027</v>
      </c>
      <c r="B1270" s="3" t="str">
        <v>R:Renewal</v>
      </c>
      <c r="C1270" s="3" t="str">
        <v>W:War</v>
      </c>
      <c r="D1270" s="3">
        <f>D1269+1</f>
        <v>1443</v>
      </c>
      <c r="E1270" s="3" t="str">
        <f>CONCAT("Q","/",LEFT(Table2[[#This Row],[Quotation Type]],1),"/", LEFT(Table2[[#This Row],[Branch]],1),"/", RIGHT(YEAR(TODAY()),2), "/",Table2[[#This Row],[Seq. Number]])</f>
        <v>Q/R/W/26/1443</v>
      </c>
      <c r="G1270" s="3" t="str">
        <v>MAK 1</v>
      </c>
      <c r="I1270" s="3" t="str">
        <v>BC</v>
      </c>
      <c r="J1270" s="3" t="str">
        <v>Sarnia</v>
      </c>
    </row>
    <row r="1271">
      <c r="A1271" s="3">
        <v>46030</v>
      </c>
      <c r="B1271" s="3" t="str">
        <v>R:Renewal</v>
      </c>
      <c r="C1271" s="3" t="str">
        <v>H:Hull</v>
      </c>
      <c r="D1271" s="3">
        <f>D1270+1</f>
        <v>1444</v>
      </c>
      <c r="E1271" s="3" t="str">
        <f>CONCAT("Q","/",LEFT(Table2[[#This Row],[Quotation Type]],1),"/", LEFT(Table2[[#This Row],[Branch]],1),"/", RIGHT(YEAR(TODAY()),2), "/",Table2[[#This Row],[Seq. Number]])</f>
        <v>Q/R/H/26/1444</v>
      </c>
      <c r="G1271" s="3" t="str">
        <v>IMA Glory</v>
      </c>
      <c r="I1271" s="3" t="str">
        <v>GC</v>
      </c>
      <c r="J1271" s="3" t="str">
        <v>Direct</v>
      </c>
    </row>
    <row r="1272">
      <c r="A1272" s="3">
        <v>46030</v>
      </c>
      <c r="B1272" s="3" t="str">
        <v>R:Renewal</v>
      </c>
      <c r="C1272" s="3" t="str">
        <v>P:P&amp;I</v>
      </c>
      <c r="D1272" s="3">
        <f>D1271+1</f>
        <v>1445</v>
      </c>
      <c r="E1272" s="3" t="str">
        <f>CONCAT("Q","/",LEFT(Table2[[#This Row],[Quotation Type]],1),"/", LEFT(Table2[[#This Row],[Branch]],1),"/", RIGHT(YEAR(TODAY()),2), "/",Table2[[#This Row],[Seq. Number]])</f>
        <v>Q/R/P/26/1445</v>
      </c>
      <c r="G1272" s="3" t="str">
        <v>IMA Glory</v>
      </c>
      <c r="I1272" s="3" t="str">
        <v>GC</v>
      </c>
      <c r="J1272" s="3" t="str">
        <v>Direct</v>
      </c>
    </row>
    <row r="1273">
      <c r="A1273" s="3">
        <v>46030</v>
      </c>
      <c r="B1273" s="3" t="str">
        <v>A:Addition</v>
      </c>
      <c r="C1273" s="3" t="str">
        <v>P:P&amp;I</v>
      </c>
      <c r="D1273" s="3">
        <f>D1272+1</f>
        <v>1446</v>
      </c>
      <c r="E1273" s="3" t="str">
        <f>CONCAT("Q","/",LEFT(Table2[[#This Row],[Quotation Type]],1),"/", LEFT(Table2[[#This Row],[Branch]],1),"/", RIGHT(YEAR(TODAY()),2), "/",Table2[[#This Row],[Seq. Number]])</f>
        <v>Q/A/P/26/1446</v>
      </c>
      <c r="F1273" s="3" t="str">
        <v>Med Star Shipping</v>
      </c>
      <c r="I1273" s="3" t="str">
        <v>GC</v>
      </c>
      <c r="J1273" s="3" t="str">
        <v>Direct</v>
      </c>
    </row>
    <row r="1274">
      <c r="A1274" s="3">
        <v>46030</v>
      </c>
      <c r="B1274" s="3" t="str">
        <v>A:Addition</v>
      </c>
      <c r="C1274" s="3" t="str">
        <v>P:P&amp;I</v>
      </c>
      <c r="D1274" s="3">
        <f>D1273+1</f>
        <v>1447</v>
      </c>
      <c r="E1274" s="3" t="str">
        <f>CONCAT("Q","/",LEFT(Table2[[#This Row],[Quotation Type]],1),"/", LEFT(Table2[[#This Row],[Branch]],1),"/", RIGHT(YEAR(TODAY()),2), "/",Table2[[#This Row],[Seq. Number]])</f>
        <v>Q/A/P/26/1447</v>
      </c>
      <c r="G1274" s="3" t="str">
        <v>Med Sea</v>
      </c>
      <c r="I1274" s="3" t="str">
        <v>GC</v>
      </c>
      <c r="J1274" s="3" t="str">
        <v>Direct</v>
      </c>
    </row>
    <row r="1275">
      <c r="A1275" s="3">
        <v>46031</v>
      </c>
      <c r="B1275" s="3" t="str">
        <v>R:Renewal</v>
      </c>
      <c r="C1275" s="3" t="str">
        <v>P:P&amp;I</v>
      </c>
      <c r="D1275" s="3">
        <f>D1274+1</f>
        <v>1448</v>
      </c>
      <c r="E1275" s="3" t="str">
        <f>CONCAT("Q","/",LEFT(Table2[[#This Row],[Quotation Type]],1),"/", LEFT(Table2[[#This Row],[Branch]],1),"/", RIGHT(YEAR(TODAY()),2), "/",Table2[[#This Row],[Seq. Number]])</f>
        <v>Q/R/P/26/1448</v>
      </c>
      <c r="G1275" s="3" t="str">
        <v>Winsen FB</v>
      </c>
      <c r="I1275" s="3" t="str">
        <v>GC</v>
      </c>
      <c r="J1275" s="3" t="str">
        <v>SSS</v>
      </c>
    </row>
    <row r="1276">
      <c r="A1276" s="3">
        <v>46031</v>
      </c>
      <c r="B1276" s="3" t="str">
        <v>R:Renewal</v>
      </c>
      <c r="C1276" s="3" t="str">
        <v>P:P&amp;I</v>
      </c>
      <c r="D1276" s="3">
        <f>D1275+1</f>
        <v>1449</v>
      </c>
      <c r="E1276" s="3" t="str">
        <f>CONCAT("Q","/",LEFT(Table2[[#This Row],[Quotation Type]],1),"/", LEFT(Table2[[#This Row],[Branch]],1),"/", RIGHT(YEAR(TODAY()),2), "/",Table2[[#This Row],[Seq. Number]])</f>
        <v>Q/R/P/26/1449</v>
      </c>
      <c r="F1276" s="3" t="str">
        <v>Adnan Hassan Fleet</v>
      </c>
      <c r="I1276" s="3" t="str">
        <v>GC</v>
      </c>
      <c r="J1276" s="3" t="str">
        <v>Kuzey</v>
      </c>
    </row>
    <row r="1277">
      <c r="A1277" s="3">
        <v>46031</v>
      </c>
      <c r="B1277" s="3" t="str">
        <v>R:Renewal</v>
      </c>
      <c r="C1277" s="3" t="str">
        <v>P:P&amp;I</v>
      </c>
      <c r="D1277" s="3">
        <f>D1276+1</f>
        <v>1450</v>
      </c>
      <c r="E1277" s="3" t="str">
        <f>CONCAT("Q","/",LEFT(Table2[[#This Row],[Quotation Type]],1),"/", LEFT(Table2[[#This Row],[Branch]],1),"/", RIGHT(YEAR(TODAY()),2), "/",Table2[[#This Row],[Seq. Number]])</f>
        <v>Q/R/P/26/1450</v>
      </c>
      <c r="G1277" s="3" t="str">
        <v>DAYTONA H – ENAS H &amp; RAOUF H</v>
      </c>
      <c r="I1277" s="3" t="str">
        <v>GC</v>
      </c>
      <c r="J1277" s="3" t="str">
        <v>Brandenburg</v>
      </c>
    </row>
    <row r="1278">
      <c r="A1278" s="3">
        <v>46031</v>
      </c>
      <c r="B1278" s="3" t="str">
        <v>N:New Quotation</v>
      </c>
      <c r="C1278" s="3" t="str">
        <v>P:P&amp;I</v>
      </c>
      <c r="D1278" s="3">
        <f>D1277+1</f>
        <v>1451</v>
      </c>
      <c r="E1278" s="3" t="str">
        <f>CONCAT("Q","/",LEFT(Table2[[#This Row],[Quotation Type]],1),"/", LEFT(Table2[[#This Row],[Branch]],1),"/", RIGHT(YEAR(TODAY()),2), "/",Table2[[#This Row],[Seq. Number]])</f>
        <v>Q/N/P/26/1451</v>
      </c>
      <c r="G1278" s="3" t="str">
        <v>Ali-K</v>
      </c>
      <c r="J1278" s="3" t="str">
        <v>Direct</v>
      </c>
    </row>
    <row r="1279">
      <c r="A1279" s="3">
        <v>46031</v>
      </c>
      <c r="B1279" s="3" t="str">
        <v>N:New Quotation</v>
      </c>
      <c r="C1279" s="3" t="str">
        <v>H:Hull</v>
      </c>
      <c r="D1279" s="3">
        <f>D1278+1</f>
        <v>1452</v>
      </c>
      <c r="E1279" s="3" t="str">
        <f>CONCAT("Q","/",LEFT(Table2[[#This Row],[Quotation Type]],1),"/", LEFT(Table2[[#This Row],[Branch]],1),"/", RIGHT(YEAR(TODAY()),2), "/",Table2[[#This Row],[Seq. Number]])</f>
        <v>Q/N/H/26/1452</v>
      </c>
      <c r="G1279" s="3" t="str">
        <v>Ali-K</v>
      </c>
      <c r="J1279" s="3" t="str">
        <v>Direct</v>
      </c>
    </row>
    <row r="1280">
      <c r="A1280" s="3">
        <v>46031</v>
      </c>
      <c r="B1280" s="3" t="str">
        <v>R:Renewal</v>
      </c>
      <c r="C1280" s="3" t="str">
        <v>P:P&amp;I</v>
      </c>
      <c r="D1280" s="3">
        <f>D1279+1</f>
        <v>1453</v>
      </c>
      <c r="E1280" s="3" t="str">
        <f>CONCAT("Q","/",LEFT(Table2[[#This Row],[Quotation Type]],1),"/", LEFT(Table2[[#This Row],[Branch]],1),"/", RIGHT(YEAR(TODAY()),2), "/",Table2[[#This Row],[Seq. Number]])</f>
        <v>Q/R/P/26/1453</v>
      </c>
      <c r="G1280" s="3" t="str">
        <v>MINA GROUP (MLV)</v>
      </c>
      <c r="J1280" s="3" t="str">
        <v>Mina Group</v>
      </c>
    </row>
    <row r="1281">
      <c r="A1281" s="3">
        <v>46031</v>
      </c>
      <c r="B1281" s="3" t="str">
        <v>R:Renewal</v>
      </c>
      <c r="C1281" s="3" t="str">
        <v>P:P&amp;I</v>
      </c>
      <c r="D1281" s="3">
        <f>D1280+1</f>
        <v>1454</v>
      </c>
      <c r="E1281" s="3" t="str">
        <f>CONCAT("Q","/",LEFT(Table2[[#This Row],[Quotation Type]],1),"/", LEFT(Table2[[#This Row],[Branch]],1),"/", RIGHT(YEAR(TODAY()),2), "/",Table2[[#This Row],[Seq. Number]])</f>
        <v>Q/R/P/26/1454</v>
      </c>
      <c r="G1281" s="3" t="str">
        <v>A.M.K. Marin</v>
      </c>
      <c r="J1281" s="3" t="str">
        <v>Mina Group</v>
      </c>
    </row>
    <row r="1282">
      <c r="A1282" s="3">
        <v>46031</v>
      </c>
      <c r="B1282" s="3" t="str">
        <v>R:Renewal</v>
      </c>
      <c r="C1282" s="3" t="str">
        <v>H:Hull</v>
      </c>
      <c r="D1282" s="3">
        <f>D1281+1</f>
        <v>1455</v>
      </c>
      <c r="E1282" s="3" t="str">
        <f>CONCAT("Q","/",LEFT(Table2[[#This Row],[Quotation Type]],1),"/", LEFT(Table2[[#This Row],[Branch]],1),"/", RIGHT(YEAR(TODAY()),2), "/",Table2[[#This Row],[Seq. Number]])</f>
        <v>Q/R/H/26/1455</v>
      </c>
      <c r="G1282" s="3" t="str">
        <v>W M F Express</v>
      </c>
      <c r="J1282" s="3" t="str">
        <v>Mina Group</v>
      </c>
    </row>
    <row r="1283">
      <c r="A1283" s="3">
        <v>46031</v>
      </c>
      <c r="B1283" s="3" t="str">
        <v>N:New Quotation</v>
      </c>
      <c r="C1283" s="3" t="str">
        <v>P:P&amp;I</v>
      </c>
      <c r="D1283" s="3">
        <f>D1282+1</f>
        <v>1456</v>
      </c>
      <c r="E1283" s="3" t="str">
        <f>CONCAT("Q","/",LEFT(Table2[[#This Row],[Quotation Type]],1),"/", LEFT(Table2[[#This Row],[Branch]],1),"/", RIGHT(YEAR(TODAY()),2), "/",Table2[[#This Row],[Seq. Number]])</f>
        <v>Q/N/P/26/1456</v>
      </c>
      <c r="G1283" s="3" t="str">
        <v>Barabulka</v>
      </c>
      <c r="J1283" s="3" t="str">
        <v>Kuzey</v>
      </c>
    </row>
    <row r="1284">
      <c r="A1284" s="3">
        <v>46031</v>
      </c>
      <c r="B1284" s="3" t="str">
        <v>R:Renewal</v>
      </c>
      <c r="C1284" s="3" t="str">
        <v>P:P&amp;I</v>
      </c>
      <c r="D1284" s="3">
        <f>D1283+1</f>
        <v>1457</v>
      </c>
      <c r="E1284" s="3" t="str">
        <f>CONCAT("Q","/",LEFT(Table2[[#This Row],[Quotation Type]],1),"/", LEFT(Table2[[#This Row],[Branch]],1),"/", RIGHT(YEAR(TODAY()),2), "/",Table2[[#This Row],[Seq. Number]])</f>
        <v>Q/R/P/26/1457</v>
      </c>
      <c r="G1284" s="3" t="str">
        <v>BLUE OCEAN A</v>
      </c>
    </row>
    <row r="1285">
      <c r="A1285" s="3">
        <v>46031</v>
      </c>
      <c r="B1285" s="3" t="str">
        <v>R:Renewal</v>
      </c>
      <c r="C1285" s="3" t="str">
        <v>H:Hull</v>
      </c>
      <c r="D1285" s="3">
        <f>D1284+1</f>
        <v>1458</v>
      </c>
      <c r="E1285" s="3" t="str">
        <f>CONCAT("Q","/",LEFT(Table2[[#This Row],[Quotation Type]],1),"/", LEFT(Table2[[#This Row],[Branch]],1),"/", RIGHT(YEAR(TODAY()),2), "/",Table2[[#This Row],[Seq. Number]])</f>
        <v>Q/R/H/26/1458</v>
      </c>
      <c r="G1285" s="3" t="str">
        <v>BLUE OCEAN A</v>
      </c>
    </row>
    <row r="1286">
      <c r="A1286" s="3">
        <v>46034</v>
      </c>
      <c r="B1286" s="3" t="str">
        <v>A:Addition</v>
      </c>
      <c r="C1286" s="3" t="str">
        <v>H:Hull</v>
      </c>
      <c r="D1286" s="3">
        <f>D1285+1</f>
        <v>1459</v>
      </c>
      <c r="E1286" s="3" t="str">
        <f>CONCAT("Q","/",LEFT(Table2[[#This Row],[Quotation Type]],1),"/", LEFT(Table2[[#This Row],[Branch]],1),"/", RIGHT(YEAR(TODAY()),2), "/",Table2[[#This Row],[Seq. Number]])</f>
        <v>Q/A/H/26/1459</v>
      </c>
      <c r="F1286" s="3" t="str">
        <v>Adnan Hassan Fleet</v>
      </c>
      <c r="I1286" s="3" t="str">
        <v>GC</v>
      </c>
      <c r="J1286" s="3" t="str">
        <v>Kuzey</v>
      </c>
    </row>
    <row r="1287">
      <c r="A1287" s="3">
        <v>46035</v>
      </c>
      <c r="B1287" s="3" t="str">
        <v>R:Renewal</v>
      </c>
      <c r="C1287" s="3" t="str">
        <v>P:P&amp;I</v>
      </c>
      <c r="D1287" s="3">
        <f>D1286+1</f>
        <v>1460</v>
      </c>
      <c r="E1287" s="3" t="str">
        <f>CONCAT("Q","/",LEFT(Table2[[#This Row],[Quotation Type]],1),"/", LEFT(Table2[[#This Row],[Branch]],1),"/", RIGHT(YEAR(TODAY()),2), "/",Table2[[#This Row],[Seq. Number]])</f>
        <v>Q/R/P/26/1460</v>
      </c>
      <c r="G1287" s="3" t="str">
        <v>Alfa Livestock</v>
      </c>
      <c r="I1287" s="3" t="str">
        <v>MLV</v>
      </c>
      <c r="J1287" s="3" t="str">
        <v>Observator</v>
      </c>
    </row>
    <row r="1288">
      <c r="A1288" s="3">
        <v>46035</v>
      </c>
      <c r="B1288" s="3" t="str">
        <v>N:New Quotation</v>
      </c>
      <c r="C1288" s="3" t="str">
        <v>P:P&amp;I</v>
      </c>
      <c r="D1288" s="3">
        <f>D1287+1</f>
        <v>1461</v>
      </c>
      <c r="E1288" s="3" t="str">
        <f>CONCAT("Q","/",LEFT(Table2[[#This Row],[Quotation Type]],1),"/", LEFT(Table2[[#This Row],[Branch]],1),"/", RIGHT(YEAR(TODAY()),2), "/",Table2[[#This Row],[Seq. Number]])</f>
        <v>Q/N/P/26/1461</v>
      </c>
      <c r="G1288" s="3" t="str">
        <v>Nour</v>
      </c>
      <c r="I1288" s="3" t="str">
        <v>GC</v>
      </c>
      <c r="J1288" s="3" t="str">
        <v>BMB</v>
      </c>
    </row>
    <row r="1289">
      <c r="A1289" s="3">
        <v>46035</v>
      </c>
      <c r="B1289" s="3" t="str">
        <v>N:New Quotation</v>
      </c>
      <c r="C1289" s="3" t="str">
        <v>P:P&amp;I</v>
      </c>
      <c r="D1289" s="3">
        <f>D1288+1</f>
        <v>1462</v>
      </c>
      <c r="E1289" s="3" t="str">
        <f>CONCAT("Q","/",LEFT(Table2[[#This Row],[Quotation Type]],1),"/", LEFT(Table2[[#This Row],[Branch]],1),"/", RIGHT(YEAR(TODAY()),2), "/",Table2[[#This Row],[Seq. Number]])</f>
        <v>Q/N/P/26/1462</v>
      </c>
      <c r="F1289" s="3" t="str">
        <v>AMJ Marine</v>
      </c>
      <c r="I1289" s="3" t="str">
        <v>GC</v>
      </c>
      <c r="J1289" s="3" t="str">
        <v>Kuzey</v>
      </c>
    </row>
    <row r="1290">
      <c r="A1290" s="3">
        <v>46035</v>
      </c>
      <c r="B1290" s="3" t="str">
        <v>N:New Quotation</v>
      </c>
      <c r="C1290" s="3" t="str">
        <v>H:Hull</v>
      </c>
      <c r="D1290" s="3">
        <f>D1289+1</f>
        <v>1463</v>
      </c>
      <c r="E1290" s="3" t="str">
        <f>CONCAT("Q","/",LEFT(Table2[[#This Row],[Quotation Type]],1),"/", LEFT(Table2[[#This Row],[Branch]],1),"/", RIGHT(YEAR(TODAY()),2), "/",Table2[[#This Row],[Seq. Number]])</f>
        <v>Q/N/H/26/1463</v>
      </c>
      <c r="F1290" s="3" t="str">
        <v>AMJ Marine</v>
      </c>
      <c r="I1290" s="3" t="str">
        <v>GC</v>
      </c>
      <c r="J1290" s="3" t="str">
        <v>Kuzey</v>
      </c>
    </row>
    <row r="1291">
      <c r="A1291" s="3">
        <v>46035</v>
      </c>
      <c r="B1291" s="3" t="str">
        <v>N:New Quotation</v>
      </c>
      <c r="C1291" s="3" t="str">
        <v>H:Hull</v>
      </c>
      <c r="D1291" s="3">
        <f>D1290+1</f>
        <v>1464</v>
      </c>
      <c r="E1291" s="3" t="str">
        <f>CONCAT("Q","/",LEFT(Table2[[#This Row],[Quotation Type]],1),"/", LEFT(Table2[[#This Row],[Branch]],1),"/", RIGHT(YEAR(TODAY()),2), "/",Table2[[#This Row],[Seq. Number]])</f>
        <v>Q/N/H/26/1464</v>
      </c>
      <c r="G1291" s="3" t="str">
        <v>Roya</v>
      </c>
      <c r="I1291" s="3" t="str">
        <v>GC</v>
      </c>
      <c r="J1291" s="3" t="str">
        <v>IPIC</v>
      </c>
    </row>
    <row r="1292">
      <c r="A1292" s="3">
        <v>46037</v>
      </c>
      <c r="B1292" s="3" t="str">
        <v>R:Renewal</v>
      </c>
      <c r="C1292" s="3" t="str">
        <v>P:P&amp;I</v>
      </c>
      <c r="D1292" s="3">
        <f>D1291+1</f>
        <v>1465</v>
      </c>
      <c r="E1292" s="3" t="str">
        <f>CONCAT("Q","/",LEFT(Table2[[#This Row],[Quotation Type]],1),"/", LEFT(Table2[[#This Row],[Branch]],1),"/", RIGHT(YEAR(TODAY()),2), "/",Table2[[#This Row],[Seq. Number]])</f>
        <v>Q/R/P/26/1465</v>
      </c>
      <c r="G1292" s="3" t="str">
        <v>Al Marfa 104</v>
      </c>
      <c r="I1292" s="3" t="str">
        <v>Crew Boat</v>
      </c>
      <c r="J1292" s="3" t="str">
        <v>Direct</v>
      </c>
    </row>
    <row r="1293">
      <c r="A1293" s="3">
        <v>46037</v>
      </c>
      <c r="B1293" s="3" t="str">
        <v>R:Renewal</v>
      </c>
      <c r="C1293" s="3" t="str">
        <v>H:Hull</v>
      </c>
      <c r="D1293" s="3">
        <f>D1292+1</f>
        <v>1466</v>
      </c>
      <c r="E1293" s="3" t="str">
        <f>CONCAT("Q","/",LEFT(Table2[[#This Row],[Quotation Type]],1),"/", LEFT(Table2[[#This Row],[Branch]],1),"/", RIGHT(YEAR(TODAY()),2), "/",Table2[[#This Row],[Seq. Number]])</f>
        <v>Q/R/H/26/1466</v>
      </c>
      <c r="G1293" s="3" t="str">
        <v>Al Marfa 104</v>
      </c>
      <c r="I1293" s="3" t="str">
        <v>Crew Boat</v>
      </c>
      <c r="J1293" s="3" t="str">
        <v>Direct</v>
      </c>
    </row>
    <row r="1294">
      <c r="A1294" s="3">
        <v>46044</v>
      </c>
      <c r="B1294" s="3" t="str">
        <v>R:Renewal</v>
      </c>
      <c r="C1294" s="3" t="str">
        <v>P:P&amp;I</v>
      </c>
      <c r="D1294" s="3">
        <f>D1293+1</f>
        <v>1467</v>
      </c>
      <c r="E1294" s="3" t="str">
        <f>CONCAT("Q","/",LEFT(Table2[[#This Row],[Quotation Type]],1),"/", LEFT(Table2[[#This Row],[Branch]],1),"/", RIGHT(YEAR(TODAY()),2), "/",Table2[[#This Row],[Seq. Number]])</f>
        <v>Q/R/P/26/1467</v>
      </c>
      <c r="G1294" s="3" t="str">
        <v>Darla</v>
      </c>
      <c r="I1294" s="3" t="str">
        <v>MLV</v>
      </c>
      <c r="J1294" s="3" t="str">
        <v>Direct</v>
      </c>
    </row>
    <row r="1295">
      <c r="A1295" s="3">
        <v>46044</v>
      </c>
      <c r="B1295" s="3" t="str">
        <v>A:Addition</v>
      </c>
      <c r="C1295" s="3" t="str">
        <v>H:Hull</v>
      </c>
      <c r="D1295" s="3">
        <f>D1294+1</f>
        <v>1468</v>
      </c>
      <c r="E1295" s="3" t="str">
        <f>CONCAT("Q","/",LEFT(Table2[[#This Row],[Quotation Type]],1),"/", LEFT(Table2[[#This Row],[Branch]],1),"/", RIGHT(YEAR(TODAY()),2), "/",Table2[[#This Row],[Seq. Number]])</f>
        <v>Q/A/H/26/1468</v>
      </c>
      <c r="G1295" s="3" t="str">
        <v>Karam K</v>
      </c>
      <c r="I1295" s="3" t="str">
        <v>GC</v>
      </c>
      <c r="J1295" s="3" t="str">
        <v>Direct</v>
      </c>
    </row>
    <row r="1296">
      <c r="A1296" s="3">
        <v>46045</v>
      </c>
      <c r="B1296" s="3" t="str">
        <v>R:Renewal</v>
      </c>
      <c r="C1296" s="3" t="str">
        <v>H:Hull</v>
      </c>
      <c r="D1296" s="3">
        <f>D1295+1</f>
        <v>1469</v>
      </c>
      <c r="E1296" s="3" t="str">
        <f>CONCAT("Q","/",LEFT(Table2[[#This Row],[Quotation Type]],1),"/", LEFT(Table2[[#This Row],[Branch]],1),"/", RIGHT(YEAR(TODAY()),2), "/",Table2[[#This Row],[Seq. Number]])</f>
        <v>Q/R/H/26/1469</v>
      </c>
      <c r="G1296" s="3" t="str">
        <v>Mo Joud</v>
      </c>
      <c r="I1296" s="3" t="str">
        <v>GC</v>
      </c>
      <c r="J1296" s="3" t="str">
        <v>Direct</v>
      </c>
    </row>
    <row r="1297">
      <c r="A1297" s="3">
        <v>46045</v>
      </c>
      <c r="B1297" s="3" t="str">
        <v>R:Renewal</v>
      </c>
      <c r="C1297" s="3" t="str">
        <v>P:P&amp;I</v>
      </c>
      <c r="D1297" s="3">
        <f>D1296+1</f>
        <v>1470</v>
      </c>
      <c r="E1297" s="3" t="str">
        <f>CONCAT("Q","/",LEFT(Table2[[#This Row],[Quotation Type]],1),"/", LEFT(Table2[[#This Row],[Branch]],1),"/", RIGHT(YEAR(TODAY()),2), "/",Table2[[#This Row],[Seq. Number]])</f>
        <v>Q/R/P/26/1470</v>
      </c>
      <c r="G1297" s="3" t="str">
        <v>Mo Joud</v>
      </c>
      <c r="I1297" s="3" t="str">
        <v>GC</v>
      </c>
      <c r="J1297" s="3" t="str">
        <v>Direct</v>
      </c>
    </row>
    <row r="1298">
      <c r="A1298" s="3">
        <v>46045</v>
      </c>
      <c r="B1298" s="3" t="str">
        <v>R:Renewal</v>
      </c>
      <c r="C1298" s="3" t="str">
        <v>P:P&amp;I</v>
      </c>
      <c r="D1298" s="3">
        <f>D1297+1</f>
        <v>1471</v>
      </c>
      <c r="E1298" s="3" t="str">
        <f>CONCAT("Q","/",LEFT(Table2[[#This Row],[Quotation Type]],1),"/", LEFT(Table2[[#This Row],[Branch]],1),"/", RIGHT(YEAR(TODAY()),2), "/",Table2[[#This Row],[Seq. Number]])</f>
        <v>Q/R/P/26/1471</v>
      </c>
      <c r="G1298" s="3" t="str">
        <v>Ous Brave</v>
      </c>
      <c r="I1298" s="3" t="str">
        <v>GC</v>
      </c>
      <c r="J1298" s="3" t="str">
        <v>Alfa Marine</v>
      </c>
    </row>
    <row r="1299">
      <c r="A1299" s="3">
        <v>46045</v>
      </c>
      <c r="B1299" s="3" t="str">
        <v>R:Renewal</v>
      </c>
      <c r="C1299" s="3" t="str">
        <v>P:P&amp;I</v>
      </c>
      <c r="D1299" s="3">
        <f>D1298+1</f>
        <v>1472</v>
      </c>
      <c r="E1299" s="3" t="str">
        <f>CONCAT("Q","/",LEFT(Table2[[#This Row],[Quotation Type]],1),"/", LEFT(Table2[[#This Row],[Branch]],1),"/", RIGHT(YEAR(TODAY()),2), "/",Table2[[#This Row],[Seq. Number]])</f>
        <v>Q/R/P/26/1472</v>
      </c>
      <c r="G1299" s="3" t="str">
        <v>Pacific M</v>
      </c>
      <c r="I1299" s="3" t="str">
        <v>MLV</v>
      </c>
      <c r="J1299" s="3" t="str">
        <v>Direct</v>
      </c>
    </row>
    <row r="1300">
      <c r="A1300" s="3">
        <v>46045</v>
      </c>
      <c r="B1300" s="3" t="str">
        <v>A:Addition</v>
      </c>
      <c r="C1300" s="3" t="str">
        <v>H:Hull</v>
      </c>
      <c r="D1300" s="3">
        <f>D1299+1</f>
        <v>1473</v>
      </c>
      <c r="E1300" s="3" t="str">
        <f>CONCAT("Q","/",LEFT(Table2[[#This Row],[Quotation Type]],1),"/", LEFT(Table2[[#This Row],[Branch]],1),"/", RIGHT(YEAR(TODAY()),2), "/",Table2[[#This Row],[Seq. Number]])</f>
        <v>Q/A/H/26/1473</v>
      </c>
      <c r="G1300" s="3" t="str">
        <v>Maria S</v>
      </c>
      <c r="I1300" s="3" t="str">
        <v>GC</v>
      </c>
      <c r="J1300" s="3" t="str">
        <v>GMS</v>
      </c>
    </row>
    <row r="1301">
      <c r="A1301" s="3">
        <v>46049</v>
      </c>
      <c r="B1301" s="3" t="str">
        <v>R:Renewal</v>
      </c>
      <c r="C1301" s="3" t="str">
        <v>W:War</v>
      </c>
      <c r="D1301" s="3">
        <f>D1300+1</f>
        <v>1474</v>
      </c>
      <c r="E1301" s="3" t="str">
        <f>CONCAT("Q","/",LEFT(Table2[[#This Row],[Quotation Type]],1),"/", LEFT(Table2[[#This Row],[Branch]],1),"/", RIGHT(YEAR(TODAY()),2), "/",Table2[[#This Row],[Seq. Number]])</f>
        <v>Q/R/W/26/1474</v>
      </c>
      <c r="G1301" s="3" t="str">
        <v>Darla</v>
      </c>
      <c r="I1301" s="3" t="str">
        <v>MLV</v>
      </c>
      <c r="J1301" s="3" t="str">
        <v>Direct</v>
      </c>
    </row>
    <row r="1302">
      <c r="A1302" s="3">
        <v>46050</v>
      </c>
      <c r="B1302" s="3" t="str">
        <v>R:Renewal</v>
      </c>
      <c r="C1302" s="3" t="str">
        <v>P:P&amp;I</v>
      </c>
      <c r="D1302" s="3">
        <f>D1301+1</f>
        <v>1475</v>
      </c>
      <c r="E1302" s="3" t="str">
        <f>CONCAT("Q","/",LEFT(Table2[[#This Row],[Quotation Type]],1),"/", LEFT(Table2[[#This Row],[Branch]],1),"/", RIGHT(YEAR(TODAY()),2), "/",Table2[[#This Row],[Seq. Number]])</f>
        <v>Q/R/P/26/1475</v>
      </c>
      <c r="F1302" s="3" t="str">
        <v>Spania Trading</v>
      </c>
      <c r="I1302" s="3" t="str">
        <v>GC</v>
      </c>
      <c r="J1302" s="3" t="str">
        <v>Direct</v>
      </c>
    </row>
    <row r="1303">
      <c r="A1303" s="3">
        <v>46051</v>
      </c>
      <c r="B1303" s="3" t="str">
        <v>R:Renewal</v>
      </c>
      <c r="C1303" s="3" t="str">
        <v>P:P&amp;I</v>
      </c>
      <c r="D1303" s="3">
        <f>D1302+1</f>
        <v>1476</v>
      </c>
      <c r="E1303" s="3" t="str">
        <f>CONCAT("Q","/",LEFT(Table2[[#This Row],[Quotation Type]],1),"/", LEFT(Table2[[#This Row],[Branch]],1),"/", RIGHT(YEAR(TODAY()),2), "/",Table2[[#This Row],[Seq. Number]])</f>
        <v>Q/R/P/26/1476</v>
      </c>
      <c r="G1303" s="3" t="str">
        <v>Majd B</v>
      </c>
      <c r="I1303" s="3" t="str">
        <v>GC</v>
      </c>
      <c r="J1303" s="3" t="str">
        <v>Direct</v>
      </c>
    </row>
    <row r="1304">
      <c r="A1304" s="3">
        <v>46051</v>
      </c>
      <c r="B1304" s="3" t="str">
        <v>A:Addition</v>
      </c>
      <c r="C1304" s="3" t="str">
        <v>H:Hull</v>
      </c>
      <c r="D1304" s="3">
        <f>D1303+1</f>
        <v>1477</v>
      </c>
      <c r="E1304" s="3" t="str">
        <f>CONCAT("Q","/",LEFT(Table2[[#This Row],[Quotation Type]],1),"/", LEFT(Table2[[#This Row],[Branch]],1),"/", RIGHT(YEAR(TODAY()),2), "/",Table2[[#This Row],[Seq. Number]])</f>
        <v>Q/A/H/26/1477</v>
      </c>
      <c r="G1304" s="3" t="str">
        <v>Atlas</v>
      </c>
      <c r="I1304" s="3" t="str">
        <v>GC</v>
      </c>
      <c r="J1304" s="3" t="str">
        <v>Mesco</v>
      </c>
    </row>
    <row r="1305">
      <c r="A1305" s="3">
        <v>46051</v>
      </c>
      <c r="B1305" s="3" t="str">
        <v>R:Renewal</v>
      </c>
      <c r="C1305" s="3" t="str">
        <v>P:P&amp;I</v>
      </c>
      <c r="D1305" s="3">
        <f>D1304+1</f>
        <v>1478</v>
      </c>
      <c r="E1305" s="3" t="str">
        <f>CONCAT("Q","/",LEFT(Table2[[#This Row],[Quotation Type]],1),"/", LEFT(Table2[[#This Row],[Branch]],1),"/", RIGHT(YEAR(TODAY()),2), "/",Table2[[#This Row],[Seq. Number]])</f>
        <v>Q/R/P/26/1478</v>
      </c>
      <c r="G1305" s="3" t="str">
        <v>Omorfi</v>
      </c>
      <c r="I1305" s="3" t="str">
        <v>GC</v>
      </c>
      <c r="J1305" s="3" t="str">
        <v>GMS</v>
      </c>
    </row>
    <row r="1306">
      <c r="A1306" s="3">
        <v>46055</v>
      </c>
      <c r="B1306" s="3" t="str">
        <v>R:Renewal</v>
      </c>
      <c r="C1306" s="3" t="str">
        <v>H:Hull</v>
      </c>
      <c r="D1306" s="3">
        <f>D1305+1</f>
        <v>1479</v>
      </c>
      <c r="E1306" s="3" t="str">
        <f>CONCAT("Q","/",LEFT(Table2[[#This Row],[Quotation Type]],1),"/", LEFT(Table2[[#This Row],[Branch]],1),"/", RIGHT(YEAR(TODAY()),2), "/",Table2[[#This Row],[Seq. Number]])</f>
        <v>Q/R/H/26/1479</v>
      </c>
      <c r="G1306" s="3" t="str">
        <v>Forever Happy</v>
      </c>
      <c r="I1306" s="3" t="str">
        <v>BC</v>
      </c>
      <c r="J1306" s="3" t="str">
        <v>CIB</v>
      </c>
    </row>
    <row r="1307">
      <c r="A1307" s="3">
        <v>46055</v>
      </c>
      <c r="B1307" s="3" t="str">
        <v>R:Renewal</v>
      </c>
      <c r="C1307" s="3" t="str">
        <v>P:P&amp;I</v>
      </c>
      <c r="D1307" s="3">
        <f>D1306+1</f>
        <v>1480</v>
      </c>
      <c r="E1307" s="3" t="str">
        <f>CONCAT("Q","/",LEFT(Table2[[#This Row],[Quotation Type]],1),"/", LEFT(Table2[[#This Row],[Branch]],1),"/", RIGHT(YEAR(TODAY()),2), "/",Table2[[#This Row],[Seq. Number]])</f>
        <v>Q/R/P/26/1480</v>
      </c>
      <c r="G1307" s="3" t="str">
        <v>Sara Sveta</v>
      </c>
      <c r="I1307" s="3" t="str">
        <v>GC</v>
      </c>
      <c r="J1307" s="3" t="str">
        <v>Direct</v>
      </c>
    </row>
    <row r="1308">
      <c r="A1308" s="3">
        <v>46056</v>
      </c>
      <c r="B1308" s="3" t="str">
        <v>R:Renewal</v>
      </c>
      <c r="C1308" s="3" t="str">
        <v>P:P&amp;I</v>
      </c>
      <c r="D1308" s="3">
        <f>D1307+1</f>
        <v>1481</v>
      </c>
      <c r="E1308" s="3" t="str">
        <f>CONCAT("Q","/",LEFT(Table2[[#This Row],[Quotation Type]],1),"/", LEFT(Table2[[#This Row],[Branch]],1),"/", RIGHT(YEAR(TODAY()),2), "/",Table2[[#This Row],[Seq. Number]])</f>
        <v>Q/R/P/26/1481</v>
      </c>
      <c r="G1308" s="3" t="str">
        <v>Taiba</v>
      </c>
      <c r="I1308" s="3" t="str">
        <v>GC</v>
      </c>
      <c r="J1308" s="3" t="str">
        <v>Direct</v>
      </c>
    </row>
    <row r="1309">
      <c r="A1309" s="3">
        <v>46056</v>
      </c>
      <c r="B1309" s="3" t="str">
        <v>N:New Quotation</v>
      </c>
      <c r="C1309" s="3" t="str">
        <v>P:P&amp;I</v>
      </c>
      <c r="D1309" s="3">
        <f>D1308+1</f>
        <v>1482</v>
      </c>
      <c r="E1309" s="3" t="str">
        <f>CONCAT("Q","/",LEFT(Table2[[#This Row],[Quotation Type]],1),"/", LEFT(Table2[[#This Row],[Branch]],1),"/", RIGHT(YEAR(TODAY()),2), "/",Table2[[#This Row],[Seq. Number]])</f>
        <v>Q/N/P/26/1482</v>
      </c>
      <c r="F1309" s="3" t="str">
        <v>Island Flag Shipping</v>
      </c>
      <c r="I1309" s="3" t="str">
        <v>GC</v>
      </c>
      <c r="J1309" s="3" t="str">
        <v>CIB</v>
      </c>
    </row>
    <row r="1310">
      <c r="A1310" s="3">
        <v>46058</v>
      </c>
      <c r="B1310" s="3" t="str">
        <v>R:Renewal</v>
      </c>
      <c r="C1310" s="3" t="str">
        <v>P:P&amp;I</v>
      </c>
      <c r="D1310" s="3">
        <f>D1309+1</f>
        <v>1483</v>
      </c>
      <c r="E1310" s="3" t="str">
        <f>CONCAT("Q","/",LEFT(Table2[[#This Row],[Quotation Type]],1),"/", LEFT(Table2[[#This Row],[Branch]],1),"/", RIGHT(YEAR(TODAY()),2), "/",Table2[[#This Row],[Seq. Number]])</f>
        <v>Q/R/P/26/1483</v>
      </c>
      <c r="G1310" s="3" t="str">
        <v>Elif Ipek</v>
      </c>
      <c r="I1310" s="3" t="str">
        <v>GC</v>
      </c>
      <c r="J1310" s="3" t="str">
        <v>Brandenburg</v>
      </c>
    </row>
    <row r="1311">
      <c r="A1311" s="3">
        <v>46058</v>
      </c>
      <c r="B1311" s="3" t="str">
        <v>R:Renewal</v>
      </c>
      <c r="C1311" s="3" t="str">
        <v>P:P&amp;I</v>
      </c>
      <c r="D1311" s="3">
        <f>D1310+1</f>
        <v>1484</v>
      </c>
      <c r="E1311" s="3" t="str">
        <f>CONCAT("Q","/",LEFT(Table2[[#This Row],[Quotation Type]],1),"/", LEFT(Table2[[#This Row],[Branch]],1),"/", RIGHT(YEAR(TODAY()),2), "/",Table2[[#This Row],[Seq. Number]])</f>
        <v>Q/R/P/26/1484</v>
      </c>
      <c r="G1311" s="3" t="str">
        <v>Zeebony</v>
      </c>
      <c r="I1311" s="3" t="str">
        <v>GC</v>
      </c>
      <c r="J1311" s="3" t="str">
        <v>Premium</v>
      </c>
    </row>
    <row r="1312">
      <c r="A1312" s="3">
        <v>46063</v>
      </c>
      <c r="B1312" s="3" t="str">
        <v>R:Renewal</v>
      </c>
      <c r="C1312" s="3" t="str">
        <v>P:P&amp;I</v>
      </c>
      <c r="D1312" s="3">
        <f>D1311+1</f>
        <v>1485</v>
      </c>
      <c r="E1312" s="3" t="str">
        <f>CONCAT("Q","/",LEFT(Table2[[#This Row],[Quotation Type]],1),"/", LEFT(Table2[[#This Row],[Branch]],1),"/", RIGHT(YEAR(TODAY()),2), "/",Table2[[#This Row],[Seq. Number]])</f>
        <v>Q/R/P/26/1485</v>
      </c>
      <c r="G1312" s="3" t="str">
        <v>Sky Light</v>
      </c>
      <c r="I1312" s="3" t="str">
        <v>GC</v>
      </c>
      <c r="J1312" s="3" t="str">
        <v>Observator</v>
      </c>
    </row>
    <row r="1313">
      <c r="A1313" s="3">
        <v>46063</v>
      </c>
      <c r="B1313" s="3" t="str">
        <v>R:Renewal</v>
      </c>
      <c r="C1313" s="3" t="str">
        <v>P:P&amp;I</v>
      </c>
      <c r="D1313" s="3">
        <f>D1312+1</f>
        <v>1486</v>
      </c>
      <c r="E1313" s="3" t="str">
        <f>CONCAT("Q","/",LEFT(Table2[[#This Row],[Quotation Type]],1),"/", LEFT(Table2[[#This Row],[Branch]],1),"/", RIGHT(YEAR(TODAY()),2), "/",Table2[[#This Row],[Seq. Number]])</f>
        <v>Q/R/P/26/1486</v>
      </c>
      <c r="G1313" s="3" t="str">
        <v>Al Khdair</v>
      </c>
      <c r="I1313" s="3" t="str">
        <v>MLV</v>
      </c>
      <c r="J1313" s="3" t="str">
        <v>Observator</v>
      </c>
    </row>
    <row r="1314">
      <c r="A1314" s="3">
        <v>46063</v>
      </c>
      <c r="B1314" s="3" t="str">
        <v>R:Renewal</v>
      </c>
      <c r="C1314" s="3" t="str">
        <v>P:P&amp;I</v>
      </c>
      <c r="D1314" s="3">
        <f>D1313+1</f>
        <v>1487</v>
      </c>
      <c r="E1314" s="3" t="str">
        <f>CONCAT("Q","/",LEFT(Table2[[#This Row],[Quotation Type]],1),"/", LEFT(Table2[[#This Row],[Branch]],1),"/", RIGHT(YEAR(TODAY()),2), "/",Table2[[#This Row],[Seq. Number]])</f>
        <v>Q/R/P/26/1487</v>
      </c>
      <c r="F1314" s="3" t="str">
        <v>Almeyda</v>
      </c>
      <c r="I1314" s="3" t="str">
        <v>GC</v>
      </c>
      <c r="J1314" s="3" t="str">
        <v>SSS</v>
      </c>
    </row>
    <row r="1315">
      <c r="A1315" s="3">
        <v>46063</v>
      </c>
      <c r="B1315" s="3" t="str">
        <v>R:Renewal</v>
      </c>
      <c r="C1315" s="3" t="str">
        <v>P:P&amp;I</v>
      </c>
      <c r="D1315" s="3">
        <f>D1314+1</f>
        <v>1488</v>
      </c>
      <c r="E1315" s="3" t="str">
        <f>CONCAT("Q","/",LEFT(Table2[[#This Row],[Quotation Type]],1),"/", LEFT(Table2[[#This Row],[Branch]],1),"/", RIGHT(YEAR(TODAY()),2), "/",Table2[[#This Row],[Seq. Number]])</f>
        <v>Q/R/P/26/1488</v>
      </c>
      <c r="G1315" s="3" t="str">
        <v>Maya S</v>
      </c>
      <c r="I1315" s="3" t="str">
        <v>GC</v>
      </c>
      <c r="J1315" s="3" t="str">
        <v>GMS</v>
      </c>
    </row>
    <row r="1316">
      <c r="A1316" s="3">
        <v>46063</v>
      </c>
      <c r="B1316" s="3" t="str">
        <v>R:Renewal</v>
      </c>
      <c r="C1316" s="3" t="str">
        <v>P:P&amp;I</v>
      </c>
      <c r="D1316" s="3">
        <f>D1315+1</f>
        <v>1489</v>
      </c>
      <c r="E1316" s="3" t="str">
        <f>CONCAT("Q","/",LEFT(Table2[[#This Row],[Quotation Type]],1),"/", LEFT(Table2[[#This Row],[Branch]],1),"/", RIGHT(YEAR(TODAY()),2), "/",Table2[[#This Row],[Seq. Number]])</f>
        <v>Q/R/P/26/1489</v>
      </c>
      <c r="G1316" s="3" t="str">
        <v>Fayze K</v>
      </c>
      <c r="I1316" s="3" t="str">
        <v>GC</v>
      </c>
      <c r="J1316" s="3" t="str">
        <v>Alfa Marine</v>
      </c>
    </row>
    <row r="1317">
      <c r="A1317" s="3">
        <v>46063</v>
      </c>
      <c r="B1317" s="3" t="str">
        <v>R:Renewal</v>
      </c>
      <c r="C1317" s="3" t="str">
        <v>P:P&amp;I</v>
      </c>
      <c r="D1317" s="3">
        <f>D1316+1</f>
        <v>1490</v>
      </c>
      <c r="E1317" s="3" t="str">
        <f>CONCAT("Q","/",LEFT(Table2[[#This Row],[Quotation Type]],1),"/", LEFT(Table2[[#This Row],[Branch]],1),"/", RIGHT(YEAR(TODAY()),2), "/",Table2[[#This Row],[Seq. Number]])</f>
        <v>Q/R/P/26/1490</v>
      </c>
      <c r="G1317" s="3" t="str">
        <v>Kristi I</v>
      </c>
      <c r="I1317" s="3" t="str">
        <v>GC</v>
      </c>
      <c r="J1317" s="3" t="str">
        <v>Ferrari</v>
      </c>
    </row>
    <row r="1318">
      <c r="A1318" s="3">
        <v>46064</v>
      </c>
      <c r="B1318" s="3" t="str">
        <v>N:New Quotation</v>
      </c>
      <c r="C1318" s="3" t="str">
        <v>P:P&amp;I</v>
      </c>
      <c r="D1318" s="3">
        <f>D1317+1</f>
        <v>1491</v>
      </c>
      <c r="E1318" s="3" t="str">
        <f>CONCAT("Q","/",LEFT(Table2[[#This Row],[Quotation Type]],1),"/", LEFT(Table2[[#This Row],[Branch]],1),"/", RIGHT(YEAR(TODAY()),2), "/",Table2[[#This Row],[Seq. Number]])</f>
        <v>Q/N/P/26/1491</v>
      </c>
      <c r="G1318" s="3" t="str">
        <v>Rubyn</v>
      </c>
      <c r="I1318" s="3" t="str">
        <v>GC</v>
      </c>
      <c r="J1318" s="3" t="str">
        <v>KM&amp;D</v>
      </c>
    </row>
    <row r="1319">
      <c r="A1319" s="3">
        <v>46064</v>
      </c>
      <c r="B1319" s="3" t="str">
        <v>R:Renewal</v>
      </c>
      <c r="C1319" s="3" t="str">
        <v>P:P&amp;I</v>
      </c>
      <c r="D1319" s="3">
        <f>D1318+1</f>
        <v>1492</v>
      </c>
      <c r="E1319" s="3" t="str">
        <f>CONCAT("Q","/",LEFT(Table2[[#This Row],[Quotation Type]],1),"/", LEFT(Table2[[#This Row],[Branch]],1),"/", RIGHT(YEAR(TODAY()),2), "/",Table2[[#This Row],[Seq. Number]])</f>
        <v>Q/R/P/26/1492</v>
      </c>
      <c r="G1319" s="3" t="str">
        <v>DSK 1</v>
      </c>
      <c r="I1319" s="3" t="str">
        <v>GC</v>
      </c>
      <c r="J1319" s="3" t="str">
        <v>Direct</v>
      </c>
    </row>
    <row r="1320">
      <c r="A1320" s="3">
        <v>46066</v>
      </c>
      <c r="B1320" s="3" t="str">
        <v>N:New Quotation</v>
      </c>
      <c r="C1320" s="3" t="str">
        <v>H:Hull</v>
      </c>
      <c r="D1320" s="3">
        <f>D1319+1</f>
        <v>1493</v>
      </c>
      <c r="E1320" s="3" t="str">
        <f>CONCAT("Q","/",LEFT(Table2[[#This Row],[Quotation Type]],1),"/", LEFT(Table2[[#This Row],[Branch]],1),"/", RIGHT(YEAR(TODAY()),2), "/",Table2[[#This Row],[Seq. Number]])</f>
        <v>Q/N/H/26/1493</v>
      </c>
      <c r="G1320" s="3" t="str">
        <v>Marianthi</v>
      </c>
      <c r="I1320" s="3" t="str">
        <v>Fishing</v>
      </c>
      <c r="J1320" s="3" t="str">
        <v>Velos</v>
      </c>
    </row>
    <row r="1321">
      <c r="A1321" s="3">
        <v>46066</v>
      </c>
      <c r="B1321" s="3" t="str">
        <v>N:New Quotation</v>
      </c>
      <c r="C1321" s="3" t="str">
        <v>H:Hull</v>
      </c>
      <c r="D1321" s="3">
        <f>D1320+1</f>
        <v>1494</v>
      </c>
      <c r="E1321" s="3" t="str">
        <f>CONCAT("Q","/",LEFT(Table2[[#This Row],[Quotation Type]],1),"/", LEFT(Table2[[#This Row],[Branch]],1),"/", RIGHT(YEAR(TODAY()),2), "/",Table2[[#This Row],[Seq. Number]])</f>
        <v>Q/N/H/26/1494</v>
      </c>
      <c r="G1321" s="3" t="str">
        <v>Nissos Aegina</v>
      </c>
      <c r="I1321" s="3" t="str">
        <v>Ro-Ro</v>
      </c>
      <c r="J1321" s="3" t="str">
        <v>Velos</v>
      </c>
    </row>
    <row r="1322">
      <c r="A1322" s="3">
        <v>46071</v>
      </c>
      <c r="B1322" s="3" t="str">
        <v>N:New Quotation</v>
      </c>
      <c r="C1322" s="3" t="str">
        <v>P:P&amp;I</v>
      </c>
      <c r="D1322" s="3">
        <f>D1321+1</f>
        <v>1495</v>
      </c>
      <c r="E1322" s="3" t="str">
        <f>CONCAT("Q","/",LEFT(Table2[[#This Row],[Quotation Type]],1),"/", LEFT(Table2[[#This Row],[Branch]],1),"/", RIGHT(YEAR(TODAY()),2), "/",Table2[[#This Row],[Seq. Number]])</f>
        <v>Q/N/P/26/1495</v>
      </c>
      <c r="G1322" s="3" t="str">
        <v>Mohamad B</v>
      </c>
      <c r="I1322" s="3" t="str">
        <v>GC</v>
      </c>
      <c r="J1322" s="3" t="str">
        <v>BMB</v>
      </c>
    </row>
    <row r="1323">
      <c r="A1323" s="3">
        <v>46077</v>
      </c>
      <c r="B1323" s="3" t="str">
        <v>R:Renewal</v>
      </c>
      <c r="C1323" s="3" t="str">
        <v>W:War</v>
      </c>
      <c r="D1323" s="3">
        <f>D1322+1</f>
        <v>1496</v>
      </c>
      <c r="E1323" s="3" t="str">
        <f>CONCAT("Q","/",LEFT(Table2[[#This Row],[Quotation Type]],1),"/", LEFT(Table2[[#This Row],[Branch]],1),"/", RIGHT(YEAR(TODAY()),2), "/",Table2[[#This Row],[Seq. Number]])</f>
        <v>Q/R/W/26/1496</v>
      </c>
      <c r="G1323" s="3" t="str">
        <v>Khaled A</v>
      </c>
      <c r="I1323" s="3" t="str">
        <v>GC</v>
      </c>
    </row>
    <row r="1324">
      <c r="A1324" s="3">
        <v>46077</v>
      </c>
      <c r="B1324" s="3" t="str">
        <v>R:Renewal</v>
      </c>
      <c r="C1324" s="3" t="str">
        <v>H:Hull</v>
      </c>
      <c r="D1324" s="3">
        <f>D1323+1</f>
        <v>1497</v>
      </c>
      <c r="E1324" s="3" t="str">
        <f>CONCAT("Q","/",LEFT(Table2[[#This Row],[Quotation Type]],1),"/", LEFT(Table2[[#This Row],[Branch]],1),"/", RIGHT(YEAR(TODAY()),2), "/",Table2[[#This Row],[Seq. Number]])</f>
        <v>Q/R/H/26/1497</v>
      </c>
      <c r="G1324" s="3" t="str">
        <v>Maria Queen</v>
      </c>
      <c r="I1324" s="3" t="str">
        <v>GC</v>
      </c>
      <c r="J1324" s="3" t="str">
        <v>Safe Sea Services</v>
      </c>
    </row>
    <row r="1325">
      <c r="A1325" s="3">
        <v>46077</v>
      </c>
      <c r="B1325" s="3" t="str">
        <v>R:Renewal</v>
      </c>
      <c r="C1325" s="3" t="str">
        <v>P:P&amp;I</v>
      </c>
      <c r="D1325" s="3">
        <f>D1324+1</f>
        <v>1498</v>
      </c>
      <c r="E1325" s="3" t="str">
        <f>CONCAT("Q","/",LEFT(Table2[[#This Row],[Quotation Type]],1),"/", LEFT(Table2[[#This Row],[Branch]],1),"/", RIGHT(YEAR(TODAY()),2), "/",Table2[[#This Row],[Seq. Number]])</f>
        <v>Q/R/P/26/1498</v>
      </c>
      <c r="G1325" s="3" t="str">
        <v>Maria Queen</v>
      </c>
      <c r="I1325" s="3" t="str">
        <v>GC</v>
      </c>
      <c r="J1325" s="3" t="str">
        <v>Safe Sea Services</v>
      </c>
    </row>
    <row r="1326">
      <c r="A1326" s="3">
        <v>46077</v>
      </c>
      <c r="B1326" s="3" t="str">
        <v>R:Renewal</v>
      </c>
      <c r="C1326" s="3" t="str">
        <v>W:War</v>
      </c>
      <c r="D1326" s="3">
        <f>D1325+1</f>
        <v>1499</v>
      </c>
      <c r="E1326" s="3" t="str">
        <f>CONCAT("Q","/",LEFT(Table2[[#This Row],[Quotation Type]],1),"/", LEFT(Table2[[#This Row],[Branch]],1),"/", RIGHT(YEAR(TODAY()),2), "/",Table2[[#This Row],[Seq. Number]])</f>
        <v>Q/R/W/26/1499</v>
      </c>
      <c r="G1326" s="3" t="str">
        <v>Maria Queen</v>
      </c>
      <c r="I1326" s="3" t="str">
        <v>GC</v>
      </c>
      <c r="J1326" s="3" t="str">
        <v>Safe Sea Services</v>
      </c>
    </row>
    <row r="1327">
      <c r="A1327" s="3">
        <v>46077</v>
      </c>
      <c r="B1327" s="3" t="str">
        <v>R:Renewal</v>
      </c>
      <c r="C1327" s="3" t="str">
        <v>P:P&amp;I</v>
      </c>
      <c r="D1327" s="3">
        <f>D1326+1</f>
        <v>1500</v>
      </c>
      <c r="E1327" s="3" t="str">
        <f>CONCAT("Q","/",LEFT(Table2[[#This Row],[Quotation Type]],1),"/", LEFT(Table2[[#This Row],[Branch]],1),"/", RIGHT(YEAR(TODAY()),2), "/",Table2[[#This Row],[Seq. Number]])</f>
        <v>Q/R/P/26/1500</v>
      </c>
      <c r="G1327" s="3" t="str">
        <v>Grace A</v>
      </c>
      <c r="I1327" s="3" t="str">
        <v>GC</v>
      </c>
      <c r="J1327" s="3" t="str">
        <v>Direct</v>
      </c>
    </row>
    <row r="1328">
      <c r="A1328" s="3">
        <v>46077</v>
      </c>
      <c r="B1328" s="3" t="str">
        <v>N:New Quotation</v>
      </c>
      <c r="C1328" s="3" t="str">
        <v>P:P&amp;I</v>
      </c>
      <c r="D1328" s="3">
        <f>D1327+1</f>
        <v>1501</v>
      </c>
      <c r="E1328" s="3" t="str">
        <f>CONCAT("Q","/",LEFT(Table2[[#This Row],[Quotation Type]],1),"/", LEFT(Table2[[#This Row],[Branch]],1),"/", RIGHT(YEAR(TODAY()),2), "/",Table2[[#This Row],[Seq. Number]])</f>
        <v>Q/N/P/26/1501</v>
      </c>
      <c r="G1328" s="3" t="str">
        <v>Maymona</v>
      </c>
      <c r="I1328" s="3" t="str">
        <v>GC</v>
      </c>
      <c r="J1328" s="3" t="str">
        <v>Kuzey</v>
      </c>
    </row>
    <row r="1329">
      <c r="A1329" s="3">
        <v>46079</v>
      </c>
      <c r="B1329" s="3" t="str">
        <v>R:Renewal</v>
      </c>
      <c r="C1329" s="3" t="str">
        <v>P:P&amp;I</v>
      </c>
      <c r="D1329" s="3">
        <f>D1328+1</f>
        <v>1502</v>
      </c>
      <c r="E1329" s="3" t="str">
        <f>CONCAT("Q","/",LEFT(Table2[[#This Row],[Quotation Type]],1),"/", LEFT(Table2[[#This Row],[Branch]],1),"/", RIGHT(YEAR(TODAY()),2), "/",Table2[[#This Row],[Seq. Number]])</f>
        <v>Q/R/P/26/1502</v>
      </c>
      <c r="G1329" s="3" t="str">
        <v>Sitia</v>
      </c>
      <c r="I1329" s="3" t="str">
        <v>GC</v>
      </c>
      <c r="J1329" s="3" t="str">
        <v>Rassoula Maritime</v>
      </c>
    </row>
    <row r="1330">
      <c r="A1330" s="3">
        <v>46079</v>
      </c>
      <c r="B1330" s="3" t="str">
        <v>R:Renewal</v>
      </c>
      <c r="C1330" s="3" t="str">
        <v>P:P&amp;I</v>
      </c>
      <c r="D1330" s="3">
        <f>D1329+1</f>
        <v>1503</v>
      </c>
      <c r="E1330" s="3" t="str">
        <f>CONCAT("Q","/",LEFT(Table2[[#This Row],[Quotation Type]],1),"/", LEFT(Table2[[#This Row],[Branch]],1),"/", RIGHT(YEAR(TODAY()),2), "/",Table2[[#This Row],[Seq. Number]])</f>
        <v>Q/R/P/26/1503</v>
      </c>
      <c r="F1330" s="3" t="str">
        <v>Hasan Mansour Fleet</v>
      </c>
      <c r="I1330" s="3" t="str">
        <v>GC</v>
      </c>
      <c r="J1330" s="3" t="str">
        <v>Observator</v>
      </c>
    </row>
    <row r="1331">
      <c r="A1331" s="3">
        <v>46083</v>
      </c>
      <c r="B1331" s="3" t="str">
        <v>R:Renewal</v>
      </c>
      <c r="C1331" s="3" t="str">
        <v>P:P&amp;I</v>
      </c>
      <c r="D1331" s="3">
        <f>D1330+1</f>
        <v>1504</v>
      </c>
      <c r="E1331" s="3" t="str">
        <f>CONCAT("Q","/",LEFT(Table2[[#This Row],[Quotation Type]],1),"/", LEFT(Table2[[#This Row],[Branch]],1),"/", RIGHT(YEAR(TODAY()),2), "/",Table2[[#This Row],[Seq. Number]])</f>
        <v>Q/R/P/26/1504</v>
      </c>
      <c r="G1331" s="3" t="str">
        <v>Ward Albahr - Albshire - Mayas Obhur</v>
      </c>
      <c r="I1331" s="3" t="str">
        <v>Crew Boat</v>
      </c>
      <c r="J1331" s="3" t="str">
        <v>Direct</v>
      </c>
    </row>
    <row r="1332">
      <c r="A1332" s="3">
        <v>46083</v>
      </c>
      <c r="B1332" s="3" t="str">
        <v>R:Renewal</v>
      </c>
      <c r="C1332" s="3" t="str">
        <v>H:Hull</v>
      </c>
      <c r="D1332" s="3">
        <f>D1331+1</f>
        <v>1505</v>
      </c>
      <c r="E1332" s="3" t="str">
        <f>CONCAT("Q","/",LEFT(Table2[[#This Row],[Quotation Type]],1),"/", LEFT(Table2[[#This Row],[Branch]],1),"/", RIGHT(YEAR(TODAY()),2), "/",Table2[[#This Row],[Seq. Number]])</f>
        <v>Q/R/H/26/1505</v>
      </c>
      <c r="G1332" s="3" t="str">
        <v>Ward Albahr - Albshire - Mayas Obhur</v>
      </c>
      <c r="I1332" s="3" t="str">
        <v>Crew Boat</v>
      </c>
      <c r="J1332" s="3" t="str">
        <v>Direct</v>
      </c>
    </row>
    <row r="1333">
      <c r="A1333" s="3">
        <v>46083</v>
      </c>
      <c r="B1333" s="3" t="str">
        <v>R:Renewal</v>
      </c>
      <c r="C1333" s="3" t="str">
        <v>P:P&amp;I</v>
      </c>
      <c r="D1333" s="3">
        <f>D1332+1</f>
        <v>1506</v>
      </c>
      <c r="E1333" s="3" t="str">
        <f>CONCAT("Q","/",LEFT(Table2[[#This Row],[Quotation Type]],1),"/", LEFT(Table2[[#This Row],[Branch]],1),"/", RIGHT(YEAR(TODAY()),2), "/",Table2[[#This Row],[Seq. Number]])</f>
        <v>Q/R/P/26/1506</v>
      </c>
      <c r="F1333" s="3" t="str">
        <v>Manassa Account</v>
      </c>
      <c r="I1333" s="3" t="str">
        <v>GC</v>
      </c>
      <c r="J1333" s="3" t="str">
        <v>Ferrari</v>
      </c>
    </row>
    <row r="1334">
      <c r="A1334" s="3">
        <v>46085</v>
      </c>
      <c r="B1334" s="3" t="str">
        <v>N:New Quotation</v>
      </c>
      <c r="C1334" s="3" t="str">
        <v>P:P&amp;I</v>
      </c>
      <c r="D1334" s="3">
        <f>D1333+1</f>
        <v>1507</v>
      </c>
      <c r="E1334" s="3" t="str">
        <f>CONCAT("Q","/",LEFT(Table2[[#This Row],[Quotation Type]],1),"/", LEFT(Table2[[#This Row],[Branch]],1),"/", RIGHT(YEAR(TODAY()),2), "/",Table2[[#This Row],[Seq. Number]])</f>
        <v>Q/N/P/26/1507</v>
      </c>
      <c r="G1334" s="3" t="str">
        <v>Iron Destiny</v>
      </c>
      <c r="I1334" s="3" t="str">
        <v>BC</v>
      </c>
      <c r="J1334" s="3" t="str">
        <v>Aphentrica</v>
      </c>
    </row>
    <row r="1335">
      <c r="A1335" s="3">
        <v>46085</v>
      </c>
      <c r="B1335" s="3" t="str">
        <v>N:New Quotation</v>
      </c>
      <c r="C1335" s="3" t="str">
        <v>P:P&amp;I</v>
      </c>
      <c r="D1335" s="3">
        <f>D1334+1</f>
        <v>1508</v>
      </c>
      <c r="E1335" s="3" t="str">
        <f>CONCAT("Q","/",LEFT(Table2[[#This Row],[Quotation Type]],1),"/", LEFT(Table2[[#This Row],[Branch]],1),"/", RIGHT(YEAR(TODAY()),2), "/",Table2[[#This Row],[Seq. Number]])</f>
        <v>Q/N/P/26/1508</v>
      </c>
      <c r="G1335" s="3" t="str">
        <v>Golden Rio</v>
      </c>
      <c r="I1335" s="3" t="str">
        <v>MLV</v>
      </c>
      <c r="J1335" s="3" t="str">
        <v>Omni</v>
      </c>
    </row>
    <row r="1336">
      <c r="A1336" s="3">
        <v>46091</v>
      </c>
      <c r="B1336" s="3" t="str">
        <v>A:Addition</v>
      </c>
      <c r="C1336" s="3" t="str">
        <v>P:P&amp;I</v>
      </c>
      <c r="D1336" s="3">
        <f>D1335+1</f>
        <v>1509</v>
      </c>
      <c r="E1336" s="3" t="str">
        <f>CONCAT("Q","/",LEFT(Table2[[#This Row],[Quotation Type]],1),"/", LEFT(Table2[[#This Row],[Branch]],1),"/", RIGHT(YEAR(TODAY()),2), "/",Table2[[#This Row],[Seq. Number]])</f>
        <v>Q/A/P/26/1509</v>
      </c>
      <c r="G1336" s="3" t="str">
        <v>SCII</v>
      </c>
      <c r="I1336" s="3" t="str">
        <v>Cement</v>
      </c>
      <c r="J1336" s="3" t="str">
        <v>Ferrari</v>
      </c>
    </row>
    <row r="1337">
      <c r="A1337" s="3">
        <v>46091</v>
      </c>
      <c r="B1337" s="3" t="str">
        <v>R:Renewal</v>
      </c>
      <c r="C1337" s="3" t="str">
        <v>P:P&amp;I</v>
      </c>
      <c r="D1337" s="3">
        <f>D1336+1</f>
        <v>1510</v>
      </c>
      <c r="E1337" s="3" t="str">
        <f>CONCAT("Q","/",LEFT(Table2[[#This Row],[Quotation Type]],1),"/", LEFT(Table2[[#This Row],[Branch]],1),"/", RIGHT(YEAR(TODAY()),2), "/",Table2[[#This Row],[Seq. Number]])</f>
        <v>Q/R/P/26/1510</v>
      </c>
      <c r="G1337" s="3" t="str">
        <v>Prince Ezz</v>
      </c>
      <c r="I1337" s="3" t="str">
        <v>GC</v>
      </c>
      <c r="J1337" s="3" t="str">
        <v>Ferrari</v>
      </c>
    </row>
    <row r="1338">
      <c r="A1338" s="3">
        <v>46091</v>
      </c>
      <c r="B1338" s="3" t="str">
        <v>R:Renewal</v>
      </c>
      <c r="C1338" s="3" t="str">
        <v>H:Hull</v>
      </c>
      <c r="D1338" s="3">
        <f>D1337+1</f>
        <v>1511</v>
      </c>
      <c r="E1338" s="3" t="str">
        <f>CONCAT("Q","/",LEFT(Table2[[#This Row],[Quotation Type]],1),"/", LEFT(Table2[[#This Row],[Branch]],1),"/", RIGHT(YEAR(TODAY()),2), "/",Table2[[#This Row],[Seq. Number]])</f>
        <v>Q/R/H/26/1511</v>
      </c>
      <c r="F1338" s="3" t="str">
        <v>Zamzam Marine</v>
      </c>
      <c r="I1338" s="3" t="str">
        <v>GC</v>
      </c>
      <c r="J1338" s="3" t="str">
        <v>BMB</v>
      </c>
    </row>
    <row r="1339">
      <c r="A1339" s="3">
        <v>46091</v>
      </c>
      <c r="B1339" s="3" t="str">
        <v>R:Renewal</v>
      </c>
      <c r="C1339" s="3" t="str">
        <v>P:P&amp;I</v>
      </c>
      <c r="D1339" s="3">
        <f>D1338+1</f>
        <v>1512</v>
      </c>
      <c r="E1339" s="3" t="str">
        <f>CONCAT("Q","/",LEFT(Table2[[#This Row],[Quotation Type]],1),"/", LEFT(Table2[[#This Row],[Branch]],1),"/", RIGHT(YEAR(TODAY()),2), "/",Table2[[#This Row],[Seq. Number]])</f>
        <v>Q/R/P/26/1512</v>
      </c>
      <c r="G1339" s="3" t="str">
        <v>Master Alpha</v>
      </c>
      <c r="I1339" s="3" t="str">
        <v>GC</v>
      </c>
      <c r="J1339" s="3" t="str">
        <v>BMB</v>
      </c>
    </row>
    <row r="1340">
      <c r="A1340" s="3">
        <v>46092</v>
      </c>
      <c r="B1340" s="3" t="str">
        <v>R:Renewal</v>
      </c>
      <c r="C1340" s="3" t="str">
        <v>P:P&amp;I</v>
      </c>
      <c r="D1340" s="3">
        <f>D1339+1</f>
        <v>1513</v>
      </c>
      <c r="E1340" s="3" t="str">
        <f>CONCAT("Q","/",LEFT(Table2[[#This Row],[Quotation Type]],1),"/", LEFT(Table2[[#This Row],[Branch]],1),"/", RIGHT(YEAR(TODAY()),2), "/",Table2[[#This Row],[Seq. Number]])</f>
        <v>Q/R/P/26/1513</v>
      </c>
      <c r="G1340" s="3" t="str">
        <v>Nivin</v>
      </c>
      <c r="I1340" s="3" t="str">
        <v>Ro-Ro</v>
      </c>
      <c r="J1340" s="3" t="str">
        <v>Direct</v>
      </c>
    </row>
    <row r="1341">
      <c r="A1341" s="3">
        <v>46092</v>
      </c>
      <c r="B1341" s="3" t="str">
        <v>R:Renewal</v>
      </c>
      <c r="C1341" s="3" t="str">
        <v>H:Hull</v>
      </c>
      <c r="D1341" s="3">
        <f>D1340+1</f>
        <v>1514</v>
      </c>
      <c r="E1341" s="3" t="str">
        <f>CONCAT("Q","/",LEFT(Table2[[#This Row],[Quotation Type]],1),"/", LEFT(Table2[[#This Row],[Branch]],1),"/", RIGHT(YEAR(TODAY()),2), "/",Table2[[#This Row],[Seq. Number]])</f>
        <v>Q/R/H/26/1514</v>
      </c>
      <c r="G1341" s="3" t="str">
        <v>Nivin</v>
      </c>
      <c r="I1341" s="3" t="str">
        <v>Ro-Ro</v>
      </c>
      <c r="J1341" s="3" t="str">
        <v>Direct</v>
      </c>
    </row>
    <row r="1342">
      <c r="A1342" s="3">
        <v>46092</v>
      </c>
      <c r="B1342" s="3" t="str">
        <v>R:Renewal</v>
      </c>
      <c r="C1342" s="3" t="str">
        <v>W:War</v>
      </c>
      <c r="D1342" s="3">
        <f>D1341+1</f>
        <v>1515</v>
      </c>
      <c r="E1342" s="3" t="str">
        <f>CONCAT("Q","/",LEFT(Table2[[#This Row],[Quotation Type]],1),"/", LEFT(Table2[[#This Row],[Branch]],1),"/", RIGHT(YEAR(TODAY()),2), "/",Table2[[#This Row],[Seq. Number]])</f>
        <v>Q/R/W/26/1515</v>
      </c>
      <c r="G1342" s="3" t="str">
        <v>Nivin</v>
      </c>
      <c r="I1342" s="3" t="str">
        <v>Ro-Ro</v>
      </c>
      <c r="J1342" s="3" t="str">
        <v>Direct</v>
      </c>
    </row>
    <row r="1343">
      <c r="A1343" s="3">
        <v>46092</v>
      </c>
      <c r="B1343" s="3" t="str">
        <v>R:Renewal</v>
      </c>
      <c r="C1343" s="3" t="str">
        <v>P:P&amp;I</v>
      </c>
      <c r="D1343" s="3">
        <f>D1342+1</f>
        <v>1516</v>
      </c>
      <c r="E1343" s="3" t="str">
        <f>CONCAT("Q","/",LEFT(Table2[[#This Row],[Quotation Type]],1),"/", LEFT(Table2[[#This Row],[Branch]],1),"/", RIGHT(YEAR(TODAY()),2), "/",Table2[[#This Row],[Seq. Number]])</f>
        <v>Q/R/P/26/1516</v>
      </c>
      <c r="G1343" s="3" t="str">
        <v>Ayamia II - Ayamia III</v>
      </c>
      <c r="I1343" s="3" t="str">
        <v>GC</v>
      </c>
      <c r="J1343" s="3" t="str">
        <v>Direct</v>
      </c>
    </row>
    <row r="1344">
      <c r="A1344" s="3">
        <v>46092</v>
      </c>
      <c r="B1344" s="3" t="str">
        <v>R:Renewal</v>
      </c>
      <c r="C1344" s="3" t="str">
        <v>P:P&amp;I</v>
      </c>
      <c r="D1344" s="3">
        <f>D1343+1</f>
        <v>1517</v>
      </c>
      <c r="E1344" s="3" t="str">
        <f>CONCAT("Q","/",LEFT(Table2[[#This Row],[Quotation Type]],1),"/", LEFT(Table2[[#This Row],[Branch]],1),"/", RIGHT(YEAR(TODAY()),2), "/",Table2[[#This Row],[Seq. Number]])</f>
        <v>Q/R/P/26/1517</v>
      </c>
      <c r="G1344" s="3" t="str">
        <v>Mariam M</v>
      </c>
      <c r="I1344" s="3" t="str">
        <v>GC</v>
      </c>
      <c r="J1344" s="3" t="str">
        <v>Direct</v>
      </c>
    </row>
    <row r="1345">
      <c r="A1345" s="3">
        <v>46092</v>
      </c>
      <c r="B1345" s="3" t="str">
        <v>R:Renewal</v>
      </c>
      <c r="C1345" s="3" t="str">
        <v>H:Hull</v>
      </c>
      <c r="D1345" s="3">
        <f>D1344+1</f>
        <v>1518</v>
      </c>
      <c r="E1345" s="3" t="str">
        <f>CONCAT("Q","/",LEFT(Table2[[#This Row],[Quotation Type]],1),"/", LEFT(Table2[[#This Row],[Branch]],1),"/", RIGHT(YEAR(TODAY()),2), "/",Table2[[#This Row],[Seq. Number]])</f>
        <v>Q/R/H/26/1518</v>
      </c>
      <c r="G1345" s="3" t="str">
        <v>Mariam M</v>
      </c>
      <c r="I1345" s="3" t="str">
        <v>GC</v>
      </c>
      <c r="J1345" s="3" t="str">
        <v>Direct</v>
      </c>
    </row>
    <row r="1346">
      <c r="A1346" s="3">
        <v>46092</v>
      </c>
      <c r="B1346" s="3" t="str">
        <v>R:Renewal</v>
      </c>
      <c r="C1346" s="3" t="str">
        <v>H:Hull</v>
      </c>
      <c r="D1346" s="3">
        <f>D1345+1</f>
        <v>1519</v>
      </c>
      <c r="E1346" s="3" t="str">
        <f>CONCAT("Q","/",LEFT(Table2[[#This Row],[Quotation Type]],1),"/", LEFT(Table2[[#This Row],[Branch]],1),"/", RIGHT(YEAR(TODAY()),2), "/",Table2[[#This Row],[Seq. Number]])</f>
        <v>Q/R/H/26/1519</v>
      </c>
      <c r="G1346" s="3" t="str">
        <v>MN Glory</v>
      </c>
      <c r="I1346" s="3" t="str">
        <v>GC</v>
      </c>
      <c r="J1346" s="3" t="str">
        <v>SSS</v>
      </c>
    </row>
    <row r="1347">
      <c r="A1347" s="3">
        <v>46092</v>
      </c>
      <c r="B1347" s="3" t="str">
        <v>R:Renewal</v>
      </c>
      <c r="C1347" s="3" t="str">
        <v>H:Hull</v>
      </c>
      <c r="D1347" s="3">
        <f>D1346+1</f>
        <v>1520</v>
      </c>
      <c r="E1347" s="3" t="str">
        <f>CONCAT("Q","/",LEFT(Table2[[#This Row],[Quotation Type]],1),"/", LEFT(Table2[[#This Row],[Branch]],1),"/", RIGHT(YEAR(TODAY()),2), "/",Table2[[#This Row],[Seq. Number]])</f>
        <v>Q/R/H/26/1520</v>
      </c>
      <c r="G1347" s="3" t="str">
        <v>MN Leo</v>
      </c>
      <c r="I1347" s="3" t="str">
        <v>GC</v>
      </c>
      <c r="J1347" s="3" t="str">
        <v>SSS</v>
      </c>
    </row>
    <row r="1348">
      <c r="A1348" s="3">
        <v>46094</v>
      </c>
      <c r="B1348" s="3" t="str">
        <v>A:Addition</v>
      </c>
      <c r="C1348" s="3" t="str">
        <v>W:War</v>
      </c>
      <c r="D1348" s="3">
        <f>D1347+1</f>
        <v>1521</v>
      </c>
      <c r="E1348" s="3" t="str">
        <f>CONCAT("Q","/",LEFT(Table2[[#This Row],[Quotation Type]],1),"/", LEFT(Table2[[#This Row],[Branch]],1),"/", RIGHT(YEAR(TODAY()),2), "/",Table2[[#This Row],[Seq. Number]])</f>
        <v>Q/A/W/26/1521</v>
      </c>
      <c r="G1348" s="3" t="str">
        <v>Balha One</v>
      </c>
      <c r="I1348" s="3" t="str">
        <v>MLV</v>
      </c>
      <c r="J1348" s="3" t="str">
        <v>Sarnia</v>
      </c>
    </row>
    <row r="1349">
      <c r="A1349" s="3">
        <v>46097</v>
      </c>
      <c r="B1349" s="3" t="str">
        <v>R:Renewal</v>
      </c>
      <c r="C1349" s="3" t="str">
        <v>P:P&amp;I</v>
      </c>
      <c r="D1349" s="3">
        <f>D1348+1</f>
        <v>1522</v>
      </c>
      <c r="E1349" s="3" t="str">
        <f>CONCAT("Q","/",LEFT(Table2[[#This Row],[Quotation Type]],1),"/", LEFT(Table2[[#This Row],[Branch]],1),"/", RIGHT(YEAR(TODAY()),2), "/",Table2[[#This Row],[Seq. Number]])</f>
        <v>Q/R/P/26/1522</v>
      </c>
      <c r="G1349" s="3" t="str">
        <v>Ibrahim B</v>
      </c>
      <c r="I1349" s="3" t="str">
        <v>GC</v>
      </c>
      <c r="J1349" s="3" t="str">
        <v>Alfa Marine</v>
      </c>
    </row>
    <row r="1350">
      <c r="A1350" s="3">
        <v>46098</v>
      </c>
      <c r="B1350" s="3" t="str">
        <v>R:Renewal</v>
      </c>
      <c r="C1350" s="3" t="str">
        <v>P:P&amp;I</v>
      </c>
      <c r="D1350" s="3">
        <f>D1349+1</f>
        <v>1523</v>
      </c>
      <c r="E1350" s="3" t="str">
        <f>CONCAT("Q","/",LEFT(Table2[[#This Row],[Quotation Type]],1),"/", LEFT(Table2[[#This Row],[Branch]],1),"/", RIGHT(YEAR(TODAY()),2), "/",Table2[[#This Row],[Seq. Number]])</f>
        <v>Q/R/P/26/1523</v>
      </c>
      <c r="F1350" s="3" t="str">
        <v>ARADOS SHIPPING COMPANY S.R.L.</v>
      </c>
      <c r="I1350" s="3" t="str">
        <v>GC</v>
      </c>
    </row>
    <row r="1351">
      <c r="A1351" s="3">
        <v>46100</v>
      </c>
      <c r="B1351" s="3" t="str">
        <v>R:Renewal</v>
      </c>
      <c r="C1351" s="3" t="str">
        <v>P:P&amp;I</v>
      </c>
      <c r="D1351" s="3">
        <f>D1350+1</f>
        <v>1524</v>
      </c>
      <c r="E1351" s="3" t="str">
        <f>CONCAT("Q","/",LEFT(Table2[[#This Row],[Quotation Type]],1),"/", LEFT(Table2[[#This Row],[Branch]],1),"/", RIGHT(YEAR(TODAY()),2), "/",Table2[[#This Row],[Seq. Number]])</f>
        <v>Q/R/P/26/1524</v>
      </c>
      <c r="G1351" s="3" t="str">
        <v>Lady Shine</v>
      </c>
      <c r="I1351" s="3" t="str">
        <v>BC</v>
      </c>
      <c r="J1351" s="3" t="str">
        <v>BMB</v>
      </c>
    </row>
    <row r="1352">
      <c r="A1352" s="3">
        <v>46100</v>
      </c>
      <c r="B1352" s="3" t="str">
        <v>R:Renewal</v>
      </c>
      <c r="C1352" s="3" t="str">
        <v>P:P&amp;I</v>
      </c>
      <c r="D1352" s="3">
        <f>D1351+1</f>
        <v>1525</v>
      </c>
      <c r="E1352" s="3" t="str">
        <f>CONCAT("Q","/",LEFT(Table2[[#This Row],[Quotation Type]],1),"/", LEFT(Table2[[#This Row],[Branch]],1),"/", RIGHT(YEAR(TODAY()),2), "/",Table2[[#This Row],[Seq. Number]])</f>
        <v>Q/R/P/26/1525</v>
      </c>
      <c r="G1352" s="3" t="str">
        <v>Akdeniz</v>
      </c>
      <c r="I1352" s="3" t="str">
        <v>GC</v>
      </c>
      <c r="J1352" s="3" t="str">
        <v>Kuzey</v>
      </c>
    </row>
    <row r="1353">
      <c r="A1353" s="3">
        <v>46100</v>
      </c>
      <c r="B1353" s="3" t="str">
        <v>R:Renewal</v>
      </c>
      <c r="C1353" s="3" t="str">
        <v>H:Hull</v>
      </c>
      <c r="D1353" s="3">
        <f>D1352+1</f>
        <v>1526</v>
      </c>
      <c r="E1353" s="3" t="str">
        <f>CONCAT("Q","/",LEFT(Table2[[#This Row],[Quotation Type]],1),"/", LEFT(Table2[[#This Row],[Branch]],1),"/", RIGHT(YEAR(TODAY()),2), "/",Table2[[#This Row],[Seq. Number]])</f>
        <v>Q/R/H/26/1526</v>
      </c>
      <c r="G1353" s="3" t="str">
        <v>Akdeniz</v>
      </c>
      <c r="I1353" s="3" t="str">
        <v>GC</v>
      </c>
      <c r="J1353" s="3" t="str">
        <v>Kuzey</v>
      </c>
    </row>
    <row r="1354">
      <c r="A1354" s="3">
        <v>46105</v>
      </c>
      <c r="B1354" s="3" t="str">
        <v>R:Renewal</v>
      </c>
      <c r="C1354" s="3" t="str">
        <v>H:Hull</v>
      </c>
      <c r="D1354" s="3">
        <f>D1353+1</f>
        <v>1527</v>
      </c>
      <c r="E1354" s="3" t="str">
        <f>CONCAT("Q","/",LEFT(Table2[[#This Row],[Quotation Type]],1),"/", LEFT(Table2[[#This Row],[Branch]],1),"/", RIGHT(YEAR(TODAY()),2), "/",Table2[[#This Row],[Seq. Number]])</f>
        <v>Q/R/H/26/1527</v>
      </c>
      <c r="F1354" s="3" t="str">
        <v>Hiroki Ship Management</v>
      </c>
      <c r="I1354" s="3" t="str">
        <v>BC</v>
      </c>
      <c r="J1354" s="3" t="str">
        <v>Sarnia</v>
      </c>
    </row>
    <row r="1355">
      <c r="A1355" s="3">
        <v>46106</v>
      </c>
      <c r="B1355" s="3" t="str">
        <v>N:New Quotation</v>
      </c>
      <c r="C1355" s="3" t="str">
        <v>P:P&amp;I</v>
      </c>
      <c r="D1355" s="3">
        <f>D1354+1</f>
        <v>1528</v>
      </c>
      <c r="E1355" s="3" t="str">
        <f>CONCAT("Q","/",LEFT(Table2[[#This Row],[Quotation Type]],1),"/", LEFT(Table2[[#This Row],[Branch]],1),"/", RIGHT(YEAR(TODAY()),2), "/",Table2[[#This Row],[Seq. Number]])</f>
        <v>Q/N/P/26/1528</v>
      </c>
      <c r="F1355" s="3" t="str">
        <v>Sea Shipping Ltd.</v>
      </c>
      <c r="I1355" s="3" t="str">
        <v>GC</v>
      </c>
      <c r="J1355" s="3" t="str">
        <v>Omni</v>
      </c>
    </row>
    <row r="1356">
      <c r="A1356" s="3">
        <v>46107</v>
      </c>
      <c r="B1356" s="3" t="str">
        <v>R:Renewal</v>
      </c>
      <c r="C1356" s="3" t="str">
        <v>P:P&amp;I</v>
      </c>
      <c r="D1356" s="3">
        <f>D1355+1</f>
        <v>1529</v>
      </c>
      <c r="E1356" s="3" t="str">
        <f>CONCAT("Q","/",LEFT(Table2[[#This Row],[Quotation Type]],1),"/", LEFT(Table2[[#This Row],[Branch]],1),"/", RIGHT(YEAR(TODAY()),2), "/",Table2[[#This Row],[Seq. Number]])</f>
        <v>Q/R/P/26/1529</v>
      </c>
      <c r="G1356" s="3" t="str">
        <v>Everest</v>
      </c>
      <c r="I1356" s="3" t="str">
        <v>GC</v>
      </c>
      <c r="J1356" s="3" t="str">
        <v>Kuzey</v>
      </c>
    </row>
    <row r="1357">
      <c r="A1357" s="3">
        <v>46105</v>
      </c>
      <c r="B1357" s="3" t="str">
        <v>R:Renewal</v>
      </c>
      <c r="C1357" s="3" t="str">
        <v>W:War</v>
      </c>
      <c r="D1357" s="3">
        <f>D1356+1</f>
        <v>1530</v>
      </c>
      <c r="E1357" s="3" t="str">
        <f>CONCAT("Q","/",LEFT(Table2[[#This Row],[Quotation Type]],1),"/", LEFT(Table2[[#This Row],[Branch]],1),"/", RIGHT(YEAR(TODAY()),2), "/",Table2[[#This Row],[Seq. Number]])</f>
        <v>Q/R/W/26/1530</v>
      </c>
      <c r="F1357" s="3" t="str">
        <v>Hiroki Ship Management</v>
      </c>
      <c r="I1357" s="3" t="str">
        <v>BC</v>
      </c>
      <c r="J1357" s="3" t="str">
        <v>Sarnia</v>
      </c>
    </row>
    <row r="1358">
      <c r="A1358" s="3">
        <v>46111</v>
      </c>
      <c r="B1358" s="3" t="str">
        <v>N:New Quotation</v>
      </c>
      <c r="C1358" s="3" t="str">
        <v>P:P&amp;I</v>
      </c>
      <c r="D1358" s="3">
        <f>D1357+1</f>
        <v>1531</v>
      </c>
      <c r="E1358" s="3" t="str">
        <f>CONCAT("Q","/",LEFT(Table2[[#This Row],[Quotation Type]],1),"/", LEFT(Table2[[#This Row],[Branch]],1),"/", RIGHT(YEAR(TODAY()),2), "/",Table2[[#This Row],[Seq. Number]])</f>
        <v>Q/N/P/26/1531</v>
      </c>
      <c r="G1358" s="3" t="str">
        <v>Well Prime</v>
      </c>
      <c r="I1358" s="3" t="str">
        <v>GC</v>
      </c>
      <c r="J1358" s="3" t="str">
        <v>Lockton Omni</v>
      </c>
    </row>
    <row r="1359">
      <c r="A1359" s="3">
        <v>46111</v>
      </c>
      <c r="B1359" s="3" t="str">
        <v>R:Renewal</v>
      </c>
      <c r="C1359" s="3" t="str">
        <v>P:P&amp;I</v>
      </c>
      <c r="D1359" s="3">
        <f>D1358+1</f>
        <v>1532</v>
      </c>
      <c r="E1359" s="3" t="str">
        <f>CONCAT("Q","/",LEFT(Table2[[#This Row],[Quotation Type]],1),"/", LEFT(Table2[[#This Row],[Branch]],1),"/", RIGHT(YEAR(TODAY()),2), "/",Table2[[#This Row],[Seq. Number]])</f>
        <v>Q/R/P/26/1532</v>
      </c>
      <c r="G1359" s="3" t="str">
        <v>Hajh Amina</v>
      </c>
      <c r="I1359" s="3" t="str">
        <v>MLV</v>
      </c>
      <c r="J1359" s="3" t="str">
        <v>Alfa Marine</v>
      </c>
    </row>
    <row r="1360">
      <c r="A1360" s="3">
        <v>46111</v>
      </c>
      <c r="B1360" s="3" t="str">
        <v>R:Renewal</v>
      </c>
      <c r="C1360" s="3" t="str">
        <v>H:Hull</v>
      </c>
      <c r="D1360" s="3">
        <f>D1359+1</f>
        <v>1533</v>
      </c>
      <c r="E1360" s="3" t="str">
        <f>CONCAT("Q","/",LEFT(Table2[[#This Row],[Quotation Type]],1),"/", LEFT(Table2[[#This Row],[Branch]],1),"/", RIGHT(YEAR(TODAY()),2), "/",Table2[[#This Row],[Seq. Number]])</f>
        <v>Q/R/H/26/1533</v>
      </c>
      <c r="G1360" s="3" t="str">
        <v>Hajh Amina</v>
      </c>
      <c r="I1360" s="3" t="str">
        <v>MLV</v>
      </c>
      <c r="J1360" s="3" t="str">
        <v>Alfa Marine</v>
      </c>
    </row>
    <row r="1361">
      <c r="A1361" s="3">
        <v>46111</v>
      </c>
      <c r="B1361" s="3" t="str">
        <v>R:Renewal</v>
      </c>
      <c r="C1361" s="3" t="str">
        <v>P:P&amp;I</v>
      </c>
      <c r="D1361" s="3">
        <f>D1360+1</f>
        <v>1534</v>
      </c>
      <c r="E1361" s="3" t="str">
        <f>CONCAT("Q","/",LEFT(Table2[[#This Row],[Quotation Type]],1),"/", LEFT(Table2[[#This Row],[Branch]],1),"/", RIGHT(YEAR(TODAY()),2), "/",Table2[[#This Row],[Seq. Number]])</f>
        <v>Q/R/P/26/1534</v>
      </c>
      <c r="G1361" s="3" t="str">
        <v>Natali</v>
      </c>
      <c r="I1361" s="3" t="str">
        <v>GC</v>
      </c>
      <c r="J1361" s="3" t="str">
        <v>Alfa Marine</v>
      </c>
    </row>
    <row r="1362">
      <c r="A1362" s="3">
        <v>46111</v>
      </c>
      <c r="B1362" s="3" t="str">
        <v>R:Renewal</v>
      </c>
      <c r="C1362" s="3" t="str">
        <v>P:P&amp;I</v>
      </c>
      <c r="D1362" s="3">
        <f>D1361+1</f>
        <v>1535</v>
      </c>
      <c r="E1362" s="3" t="str">
        <f>CONCAT("Q","/",LEFT(Table2[[#This Row],[Quotation Type]],1),"/", LEFT(Table2[[#This Row],[Branch]],1),"/", RIGHT(YEAR(TODAY()),2), "/",Table2[[#This Row],[Seq. Number]])</f>
        <v>Q/R/P/26/1535</v>
      </c>
      <c r="G1362" s="3" t="str">
        <v>Princess Eman</v>
      </c>
      <c r="I1362" s="3" t="str">
        <v>GC</v>
      </c>
      <c r="J1362" s="3" t="str">
        <v>Bernard</v>
      </c>
    </row>
    <row r="1363">
      <c r="A1363" s="3">
        <v>46112</v>
      </c>
      <c r="B1363" s="3" t="str">
        <v>R:Renewal</v>
      </c>
      <c r="C1363" s="3" t="str">
        <v>P:P&amp;I</v>
      </c>
      <c r="D1363" s="3">
        <f>D1362+1</f>
        <v>1536</v>
      </c>
      <c r="E1363" s="3" t="str">
        <f>CONCAT("Q","/",LEFT(Table2[[#This Row],[Quotation Type]],1),"/", LEFT(Table2[[#This Row],[Branch]],1),"/", RIGHT(YEAR(TODAY()),2), "/",Table2[[#This Row],[Seq. Number]])</f>
        <v>Q/R/P/26/1536</v>
      </c>
      <c r="G1363" s="3" t="str">
        <v>Neameh</v>
      </c>
      <c r="I1363" s="3" t="str">
        <v>MLV</v>
      </c>
      <c r="J1363" s="3" t="str">
        <v>Observator</v>
      </c>
    </row>
    <row r="1364">
      <c r="A1364" s="3">
        <v>46112</v>
      </c>
      <c r="B1364" s="3" t="str">
        <v>R:Renewal</v>
      </c>
      <c r="C1364" s="3" t="str">
        <v>P:P&amp;I</v>
      </c>
      <c r="D1364" s="3">
        <f>D1363+1</f>
        <v>1537</v>
      </c>
      <c r="E1364" s="3" t="str">
        <f>CONCAT("Q","/",LEFT(Table2[[#This Row],[Quotation Type]],1),"/", LEFT(Table2[[#This Row],[Branch]],1),"/", RIGHT(YEAR(TODAY()),2), "/",Table2[[#This Row],[Seq. Number]])</f>
        <v>Q/R/P/26/1537</v>
      </c>
      <c r="G1364" s="3" t="str">
        <v>Adel II</v>
      </c>
      <c r="I1364" s="3" t="str">
        <v>MLV</v>
      </c>
      <c r="J1364" s="3" t="str">
        <v>Direct</v>
      </c>
    </row>
    <row r="1365">
      <c r="A1365" s="3">
        <v>46112</v>
      </c>
      <c r="B1365" s="3" t="str">
        <v>R:Renewal</v>
      </c>
      <c r="C1365" s="3" t="str">
        <v>H:Hull</v>
      </c>
      <c r="D1365" s="3">
        <f>D1364+1</f>
        <v>1538</v>
      </c>
      <c r="E1365" s="3" t="str">
        <f>CONCAT("Q","/",LEFT(Table2[[#This Row],[Quotation Type]],1),"/", LEFT(Table2[[#This Row],[Branch]],1),"/", RIGHT(YEAR(TODAY()),2), "/",Table2[[#This Row],[Seq. Number]])</f>
        <v>Q/R/H/26/1538</v>
      </c>
      <c r="F1365" s="3" t="str">
        <v>Elreedy Shipping</v>
      </c>
      <c r="I1365" s="3" t="str">
        <v>GC</v>
      </c>
      <c r="J1365" s="3" t="str">
        <v>Sarnia</v>
      </c>
    </row>
    <row r="1366">
      <c r="A1366" s="3">
        <v>46112</v>
      </c>
      <c r="B1366" s="3" t="str">
        <v>R:Renewal</v>
      </c>
      <c r="C1366" s="3" t="str">
        <v>W:War</v>
      </c>
      <c r="D1366" s="3">
        <f>D1365+1</f>
        <v>1539</v>
      </c>
      <c r="E1366" s="3" t="str">
        <f>CONCAT("Q","/",LEFT(Table2[[#This Row],[Quotation Type]],1),"/", LEFT(Table2[[#This Row],[Branch]],1),"/", RIGHT(YEAR(TODAY()),2), "/",Table2[[#This Row],[Seq. Number]])</f>
        <v>Q/R/W/26/1539</v>
      </c>
      <c r="F1366" s="3" t="str">
        <v>Elreedy Shipping</v>
      </c>
      <c r="I1366" s="3" t="str">
        <v>GC</v>
      </c>
      <c r="J1366" s="3" t="str">
        <v>Sarnia</v>
      </c>
    </row>
    <row r="1367">
      <c r="A1367" s="3">
        <v>46112</v>
      </c>
      <c r="B1367" s="3" t="str">
        <v>R:Renewal</v>
      </c>
      <c r="C1367" s="3" t="str">
        <v>H:Hull</v>
      </c>
      <c r="D1367" s="3">
        <f>D1366+1</f>
        <v>1540</v>
      </c>
      <c r="E1367" s="3" t="str">
        <f>CONCAT("Q","/",LEFT(Table2[[#This Row],[Quotation Type]],1),"/", LEFT(Table2[[#This Row],[Branch]],1),"/", RIGHT(YEAR(TODAY()),2), "/",Table2[[#This Row],[Seq. Number]])</f>
        <v>Q/R/H/26/1540</v>
      </c>
      <c r="G1367" s="3" t="str">
        <v>ATH Lemba</v>
      </c>
      <c r="I1367" s="3" t="str">
        <v>O/T</v>
      </c>
      <c r="J1367" s="3" t="str">
        <v>J Hasa</v>
      </c>
    </row>
    <row r="1368">
      <c r="A1368" s="3">
        <v>46112</v>
      </c>
      <c r="B1368" s="3" t="str">
        <v>R:Renewal</v>
      </c>
      <c r="C1368" s="3" t="str">
        <v>H:Hull</v>
      </c>
      <c r="D1368" s="3">
        <f>D1367+1</f>
        <v>1541</v>
      </c>
      <c r="E1368" s="3" t="str">
        <f>CONCAT("Q","/",LEFT(Table2[[#This Row],[Quotation Type]],1),"/", LEFT(Table2[[#This Row],[Branch]],1),"/", RIGHT(YEAR(TODAY()),2), "/",Table2[[#This Row],[Seq. Number]])</f>
        <v>Q/R/H/26/1541</v>
      </c>
      <c r="G1368" s="3" t="str">
        <v>Maddox</v>
      </c>
      <c r="I1368" s="3" t="str">
        <v>BC</v>
      </c>
      <c r="J1368" s="3" t="str">
        <v>Direct</v>
      </c>
    </row>
    <row r="1369">
      <c r="A1369" s="3">
        <v>46112</v>
      </c>
      <c r="B1369" s="3" t="str">
        <v>R:Renewal</v>
      </c>
      <c r="C1369" s="3" t="str">
        <v>W:War</v>
      </c>
      <c r="D1369" s="3">
        <f>D1368+1</f>
        <v>1542</v>
      </c>
      <c r="E1369" s="3" t="str">
        <f>CONCAT("Q","/",LEFT(Table2[[#This Row],[Quotation Type]],1),"/", LEFT(Table2[[#This Row],[Branch]],1),"/", RIGHT(YEAR(TODAY()),2), "/",Table2[[#This Row],[Seq. Number]])</f>
        <v>Q/R/W/26/1542</v>
      </c>
      <c r="G1369" s="3" t="str">
        <v>Maddox</v>
      </c>
      <c r="I1369" s="3" t="str">
        <v>BC</v>
      </c>
      <c r="J1369" s="3" t="str">
        <v>Direct</v>
      </c>
    </row>
    <row r="1370">
      <c r="A1370" s="3">
        <v>46112</v>
      </c>
      <c r="B1370" s="3" t="str">
        <v>R:Renewal</v>
      </c>
      <c r="C1370" s="3" t="str">
        <v>P:P&amp;I</v>
      </c>
      <c r="D1370" s="3">
        <f>D1369+1</f>
        <v>1543</v>
      </c>
      <c r="E1370" s="3" t="str">
        <f>CONCAT("Q","/",LEFT(Table2[[#This Row],[Quotation Type]],1),"/", LEFT(Table2[[#This Row],[Branch]],1),"/", RIGHT(YEAR(TODAY()),2), "/",Table2[[#This Row],[Seq. Number]])</f>
        <v>Q/R/P/26/1543</v>
      </c>
      <c r="G1370" s="3" t="str">
        <v>Yalissa</v>
      </c>
      <c r="I1370" s="3" t="str">
        <v>GC</v>
      </c>
      <c r="J1370" s="3" t="str">
        <v>Direct</v>
      </c>
    </row>
    <row r="1371">
      <c r="A1371" s="3">
        <v>46112</v>
      </c>
      <c r="B1371" s="3" t="str">
        <v>R:Renewal</v>
      </c>
      <c r="C1371" s="3" t="str">
        <v>P:P&amp;I</v>
      </c>
      <c r="D1371" s="3">
        <f>D1370+1</f>
        <v>1544</v>
      </c>
      <c r="E1371" s="3" t="str">
        <f>CONCAT("Q","/",LEFT(Table2[[#This Row],[Quotation Type]],1),"/", LEFT(Table2[[#This Row],[Branch]],1),"/", RIGHT(YEAR(TODAY()),2), "/",Table2[[#This Row],[Seq. Number]])</f>
        <v>Q/R/P/26/1544</v>
      </c>
      <c r="G1371" s="3" t="str">
        <v>Anna Rose</v>
      </c>
      <c r="I1371" s="3" t="str">
        <v>GC</v>
      </c>
      <c r="J1371" s="3" t="str">
        <v>Mesco</v>
      </c>
    </row>
    <row r="1372">
      <c r="A1372" s="3">
        <v>46114</v>
      </c>
      <c r="B1372" s="3" t="str">
        <v>R:Renewal</v>
      </c>
      <c r="C1372" s="3" t="str">
        <v>P:P&amp;I</v>
      </c>
      <c r="D1372" s="3">
        <f>D1371+1</f>
        <v>1545</v>
      </c>
      <c r="E1372" s="3" t="str">
        <f>CONCAT("Q","/",LEFT(Table2[[#This Row],[Quotation Type]],1),"/", LEFT(Table2[[#This Row],[Branch]],1),"/", RIGHT(YEAR(TODAY()),2), "/",Table2[[#This Row],[Seq. Number]])</f>
        <v>Q/R/P/26/1545</v>
      </c>
      <c r="G1372" s="3" t="str">
        <v>Olympic OS</v>
      </c>
      <c r="I1372" s="3" t="str">
        <v>GC</v>
      </c>
      <c r="J1372" s="3" t="str">
        <v>GMS</v>
      </c>
    </row>
    <row r="1373">
      <c r="A1373" s="3">
        <v>46121</v>
      </c>
      <c r="B1373" s="3" t="str">
        <v>R:Renewal</v>
      </c>
      <c r="C1373" s="3" t="str">
        <v>P:P&amp;I</v>
      </c>
      <c r="D1373" s="3">
        <f>D1372+1</f>
        <v>1546</v>
      </c>
      <c r="E1373" s="3" t="str">
        <f>CONCAT("Q","/",LEFT(Table2[[#This Row],[Quotation Type]],1),"/", LEFT(Table2[[#This Row],[Branch]],1),"/", RIGHT(YEAR(TODAY()),2), "/",Table2[[#This Row],[Seq. Number]])</f>
        <v>Q/R/P/26/1546</v>
      </c>
      <c r="G1373" s="3" t="str">
        <v>Poyraz</v>
      </c>
      <c r="I1373" s="3" t="str">
        <v>GC</v>
      </c>
      <c r="J1373" s="3" t="str">
        <v>Profinsure</v>
      </c>
    </row>
    <row r="1374">
      <c r="A1374" s="3">
        <v>46121</v>
      </c>
      <c r="B1374" s="3" t="str">
        <v>R:Renewal</v>
      </c>
      <c r="C1374" s="3" t="str">
        <v>P:P&amp;I</v>
      </c>
      <c r="D1374" s="3">
        <f>D1373+1</f>
        <v>1547</v>
      </c>
      <c r="E1374" s="3" t="str">
        <f>CONCAT("Q","/",LEFT(Table2[[#This Row],[Quotation Type]],1),"/", LEFT(Table2[[#This Row],[Branch]],1),"/", RIGHT(YEAR(TODAY()),2), "/",Table2[[#This Row],[Seq. Number]])</f>
        <v>Q/R/P/26/1547</v>
      </c>
      <c r="G1374" s="3" t="str">
        <v>Propus</v>
      </c>
      <c r="I1374" s="3" t="str">
        <v>GC</v>
      </c>
      <c r="J1374" s="3" t="str">
        <v>Profinsure</v>
      </c>
    </row>
    <row r="1375">
      <c r="A1375" s="3">
        <v>46122</v>
      </c>
      <c r="B1375" s="3" t="str">
        <v>R:Renewal</v>
      </c>
      <c r="C1375" s="3" t="str">
        <v>P:P&amp;I</v>
      </c>
      <c r="D1375" s="3">
        <f>D1374+1</f>
        <v>1548</v>
      </c>
      <c r="E1375" s="3" t="str">
        <f>CONCAT("Q","/",LEFT(Table2[[#This Row],[Quotation Type]],1),"/", LEFT(Table2[[#This Row],[Branch]],1),"/", RIGHT(YEAR(TODAY()),2), "/",Table2[[#This Row],[Seq. Number]])</f>
        <v>Q/R/P/26/1548</v>
      </c>
      <c r="G1375" s="3" t="str">
        <v>Ani Star</v>
      </c>
      <c r="I1375" s="3" t="str">
        <v>GC</v>
      </c>
      <c r="J1375" s="3" t="str">
        <v>Kuzey</v>
      </c>
    </row>
    <row r="1376">
      <c r="A1376" s="3">
        <v>46127</v>
      </c>
      <c r="B1376" s="3" t="str">
        <v>R:Renewal</v>
      </c>
      <c r="C1376" s="3" t="str">
        <v>P:P&amp;I</v>
      </c>
      <c r="D1376" s="3">
        <f>D1375+1</f>
        <v>1549</v>
      </c>
      <c r="E1376" s="3" t="str">
        <f>CONCAT("Q","/",LEFT(Table2[[#This Row],[Quotation Type]],1),"/", LEFT(Table2[[#This Row],[Branch]],1),"/", RIGHT(YEAR(TODAY()),2), "/",Table2[[#This Row],[Seq. Number]])</f>
        <v>Q/R/P/26/1549</v>
      </c>
      <c r="G1376" s="3" t="str">
        <v>Dieva</v>
      </c>
      <c r="I1376" s="3" t="str">
        <v>GC</v>
      </c>
      <c r="J1376" s="3" t="str">
        <v>Profinsure</v>
      </c>
    </row>
    <row r="1377">
      <c r="A1377" s="3">
        <v>46134</v>
      </c>
      <c r="B1377" s="3" t="str">
        <v>R:Renewal</v>
      </c>
      <c r="C1377" s="3" t="str">
        <v>W:War</v>
      </c>
      <c r="D1377" s="3">
        <f>D1376+1</f>
        <v>1550</v>
      </c>
      <c r="E1377" s="3" t="str">
        <f>CONCAT("Q","/",LEFT(Table2[[#This Row],[Quotation Type]],1),"/", LEFT(Table2[[#This Row],[Branch]],1),"/", RIGHT(YEAR(TODAY()),2), "/",Table2[[#This Row],[Seq. Number]])</f>
        <v>Q/R/W/26/1550</v>
      </c>
      <c r="F1377" s="3" t="str">
        <v>Princess Hiyam Shipping</v>
      </c>
      <c r="I1377" s="3" t="str">
        <v>MLV</v>
      </c>
      <c r="J1377" s="3" t="str">
        <v>Sarnia</v>
      </c>
    </row>
    <row r="1378">
      <c r="A1378" s="3">
        <v>46134</v>
      </c>
      <c r="B1378" s="3" t="str">
        <v>R:Renewal</v>
      </c>
      <c r="C1378" s="3" t="str">
        <v>P:P&amp;I</v>
      </c>
      <c r="D1378" s="3">
        <f>D1377+1</f>
        <v>1551</v>
      </c>
      <c r="E1378" s="3" t="str">
        <f>CONCAT("Q","/",LEFT(Table2[[#This Row],[Quotation Type]],1),"/", LEFT(Table2[[#This Row],[Branch]],1),"/", RIGHT(YEAR(TODAY()),2), "/",Table2[[#This Row],[Seq. Number]])</f>
        <v>Q/R/P/26/1551</v>
      </c>
      <c r="G1378" s="3" t="str">
        <v>Haje Hesen</v>
      </c>
      <c r="I1378" s="3" t="str">
        <v>GC</v>
      </c>
      <c r="J1378" s="3" t="str">
        <v>Sata Chartering</v>
      </c>
    </row>
    <row r="1379">
      <c r="A1379" s="3">
        <v>46134</v>
      </c>
      <c r="B1379" s="3" t="str">
        <v>R:Renewal</v>
      </c>
      <c r="C1379" s="3" t="str">
        <v>P:P&amp;I</v>
      </c>
      <c r="D1379" s="3">
        <f>D1378+1</f>
        <v>1552</v>
      </c>
      <c r="E1379" s="3" t="str">
        <f>CONCAT("Q","/",LEFT(Table2[[#This Row],[Quotation Type]],1),"/", LEFT(Table2[[#This Row],[Branch]],1),"/", RIGHT(YEAR(TODAY()),2), "/",Table2[[#This Row],[Seq. Number]])</f>
        <v>Q/R/P/26/1552</v>
      </c>
      <c r="F1379" s="3" t="str">
        <v>Taj Management Maritime Co - Alaa M</v>
      </c>
      <c r="G1379" s="3" t="str">
        <v>Alaa M</v>
      </c>
      <c r="I1379" s="3" t="str">
        <v>GC</v>
      </c>
      <c r="J1379" s="3" t="str">
        <v>Direct</v>
      </c>
    </row>
    <row r="1380">
      <c r="A1380" s="3">
        <v>46135.44494202546</v>
      </c>
      <c r="B1380" s="3" t="str">
        <v>N:New Quotation</v>
      </c>
      <c r="C1380" s="3" t="str">
        <v>W:War</v>
      </c>
      <c r="D1380" s="3">
        <v>1553</v>
      </c>
      <c r="E1380" s="3" t="str">
        <v>Q/N/W/26/1553</v>
      </c>
      <c r="F1380" s="3" t="str">
        <v>Friends Shipping Co. S.A.</v>
      </c>
      <c r="G1380" s="3" t="str">
        <v>BAY 10</v>
      </c>
      <c r="H1380" s="3" t="str">
        <v>9162760</v>
      </c>
      <c r="I1380" s="3" t="str">
        <v>GC</v>
      </c>
      <c r="J1380" s="3" t="str">
        <v>MESCO</v>
      </c>
    </row>
    <row r="1381">
      <c r="A1381" s="3">
        <v>46135.527575266206</v>
      </c>
      <c r="B1381" s="3" t="str">
        <v>N:New Quotation</v>
      </c>
      <c r="C1381" s="3" t="str">
        <v>P:P&amp;I</v>
      </c>
      <c r="D1381" s="3">
        <v>1554</v>
      </c>
      <c r="E1381" s="3" t="str">
        <v>Q/N/P/26/1554</v>
      </c>
      <c r="F1381" s="3" t="str">
        <v>Mansour Management Gemi Acentligi San Ve</v>
      </c>
      <c r="G1381" s="3" t="str">
        <v>MOHAMAD M</v>
      </c>
      <c r="H1381" s="3" t="str">
        <v>9141235</v>
      </c>
      <c r="I1381" s="3" t="str">
        <v>BC</v>
      </c>
      <c r="J1381" s="3" t="str">
        <v/>
      </c>
    </row>
    <row r="1382">
      <c r="A1382" s="3">
        <v>46135.53108273148</v>
      </c>
      <c r="B1382" s="3" t="str">
        <v>N:New Quotation</v>
      </c>
      <c r="C1382" s="3" t="str">
        <v>H:Hull</v>
      </c>
      <c r="D1382" s="3">
        <v>1555</v>
      </c>
      <c r="E1382" s="3" t="str">
        <v>Q/N/H/26/1555</v>
      </c>
      <c r="F1382" s="3" t="str">
        <v>UME SHIPPING DMCC</v>
      </c>
      <c r="G1382" s="3" t="str">
        <v>BRIDGE</v>
      </c>
      <c r="H1382" s="3" t="str">
        <v>8708622</v>
      </c>
      <c r="I1382" s="3" t="str">
        <v>GC</v>
      </c>
      <c r="J1382" s="3" t="str">
        <v/>
      </c>
    </row>
    <row r="1383">
      <c r="A1383" s="4">
        <v>46135.570034571756</v>
      </c>
      <c r="B1383" s="3" t="str">
        <v>N:New Quotation</v>
      </c>
      <c r="C1383" s="3" t="str">
        <v>P:P&amp;I</v>
      </c>
      <c r="D1383" s="3">
        <v>1556</v>
      </c>
      <c r="E1383" s="3" t="str">
        <v>Q/N/P/26/1556</v>
      </c>
      <c r="F1383" s="3" t="str">
        <v>GS Mykonos Lines III Maritime Company</v>
      </c>
      <c r="G1383" s="3" t="str">
        <v>MYKONOS III</v>
      </c>
      <c r="H1383" s="3" t="str">
        <v>7816135</v>
      </c>
      <c r="I1383" s="3" t="str">
        <v>GC</v>
      </c>
      <c r="J1383" s="3" t="str">
        <v/>
      </c>
    </row>
    <row r="1384">
      <c r="A1384" s="5">
        <v>46167.29053866898</v>
      </c>
      <c r="B1384" s="2" t="str">
        <v>N:New Quotation</v>
      </c>
      <c r="C1384" s="2" t="str">
        <v>H:Hull</v>
      </c>
      <c r="D1384" s="2">
        <v>1557</v>
      </c>
      <c r="E1384" s="2" t="str">
        <v>Q/N/H/26/1557</v>
      </c>
      <c r="F1384" s="2" t="str">
        <v>UME SHIPPING DMCC</v>
      </c>
      <c r="G1384" s="2" t="str">
        <v>BRIDGE</v>
      </c>
      <c r="H1384" s="2" t="str">
        <v>8708622</v>
      </c>
      <c r="I1384" s="2" t="str">
        <v>GC</v>
      </c>
      <c r="J1384" s="2" t="str">
        <v/>
      </c>
    </row>
  </sheetData>
  <pageMargins left="0.7" right="0.7" top="0.75" bottom="0.75" header="0.3" footer="0.3"/>
  <ignoredErrors>
    <ignoredError numberStoredAsText="1" sqref="A1:K13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s="3" t="str">
        <v>Quotation Type</v>
      </c>
      <c r="B1" s="3" t="str">
        <v>Branches</v>
      </c>
      <c r="C1" s="3">
        <v>175</v>
      </c>
    </row>
    <row r="2">
      <c r="A2" s="3" t="str">
        <v>R:Renewal</v>
      </c>
      <c r="B2" s="3" t="str">
        <v>H:Hull</v>
      </c>
    </row>
    <row r="3">
      <c r="A3" s="3" t="str">
        <v>A:Addition</v>
      </c>
      <c r="B3" s="3" t="str">
        <v>P:P&amp;I</v>
      </c>
    </row>
    <row r="4">
      <c r="A4" s="3" t="str">
        <v>N:New Quotation</v>
      </c>
      <c r="B4" s="3" t="str">
        <v>W:War</v>
      </c>
    </row>
    <row r="5">
      <c r="B5" s="3" t="str">
        <v>C:Cargo</v>
      </c>
    </row>
    <row r="6">
      <c r="B6" s="3" t="str">
        <v>V:Voyage</v>
      </c>
    </row>
    <row r="7">
      <c r="B7" s="3" t="str">
        <v>F:FD&amp;D</v>
      </c>
    </row>
    <row r="8">
      <c r="B8" s="3" t="str">
        <v>Y:Yacht</v>
      </c>
    </row>
  </sheetData>
  <pageMargins left="0.7" right="0.7" top="0.75" bottom="0.75" header="0.3" footer="0.3"/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2026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2026-04-22T08:18:07Z</dcterms:modified>
  <cp:lastModifiedBy>Nisrine Mansour</cp:lastModifiedBy>
  <dc:creator>Owner</dc:creator>
</cp:coreProperties>
</file>