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.khattar\Desktop\"/>
    </mc:Choice>
  </mc:AlternateContent>
  <xr:revisionPtr revIDLastSave="0" documentId="8_{7DD482FF-3F7E-4528-9D39-8BEF6E5A8F04}" xr6:coauthVersionLast="47" xr6:coauthVersionMax="47" xr10:uidLastSave="{00000000-0000-0000-0000-000000000000}"/>
  <bookViews>
    <workbookView xWindow="-120" yWindow="-120" windowWidth="20730" windowHeight="11160" xr2:uid="{99328537-5DC6-437E-8DDF-9263941A0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I2" i="1"/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2" i="1"/>
  <c r="F2" i="1" s="1"/>
  <c r="E3" i="1"/>
  <c r="E4" i="1"/>
  <c r="E5" i="1"/>
  <c r="E6" i="1"/>
  <c r="E7" i="1"/>
  <c r="E8" i="1"/>
  <c r="E9" i="1"/>
  <c r="E10" i="1"/>
  <c r="E11" i="1"/>
  <c r="E2" i="1"/>
  <c r="C11" i="1" l="1"/>
  <c r="J11" i="1"/>
  <c r="C10" i="1"/>
  <c r="J10" i="1"/>
  <c r="J9" i="1"/>
  <c r="C9" i="1"/>
  <c r="C8" i="1"/>
  <c r="J8" i="1"/>
  <c r="C7" i="1"/>
  <c r="J7" i="1"/>
  <c r="J6" i="1"/>
  <c r="C6" i="1"/>
  <c r="C5" i="1"/>
  <c r="J5" i="1"/>
  <c r="C4" i="1"/>
  <c r="J4" i="1"/>
  <c r="C3" i="1"/>
  <c r="J3" i="1"/>
  <c r="C2" i="1"/>
  <c r="J2" i="1"/>
  <c r="H11" i="1" l="1"/>
  <c r="H10" i="1"/>
  <c r="H9" i="1"/>
  <c r="H8" i="1"/>
  <c r="H7" i="1"/>
  <c r="I7" i="1" s="1"/>
  <c r="H6" i="1"/>
  <c r="H5" i="1"/>
  <c r="H2" i="1"/>
  <c r="H4" i="1"/>
  <c r="H3" i="1"/>
  <c r="I11" i="1" l="1"/>
  <c r="I9" i="1"/>
  <c r="I10" i="1"/>
  <c r="I8" i="1"/>
  <c r="I6" i="1"/>
  <c r="I5" i="1"/>
  <c r="I4" i="1"/>
  <c r="I3" i="1"/>
</calcChain>
</file>

<file path=xl/sharedStrings.xml><?xml version="1.0" encoding="utf-8"?>
<sst xmlns="http://schemas.openxmlformats.org/spreadsheetml/2006/main" count="11" uniqueCount="11">
  <si>
    <t>Amount USD</t>
  </si>
  <si>
    <t>Net Premium</t>
  </si>
  <si>
    <t>Fees</t>
  </si>
  <si>
    <t>Cost of policy</t>
  </si>
  <si>
    <t>Prop. Stamps</t>
  </si>
  <si>
    <t>Fixed Stamps</t>
  </si>
  <si>
    <t>Muni. Taxes</t>
  </si>
  <si>
    <t>Rate</t>
  </si>
  <si>
    <t>Gross Premium</t>
  </si>
  <si>
    <t>Total</t>
  </si>
  <si>
    <t>For War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</si>
</sst>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2E24-3F22-442A-B1B2-E66374CB1F0D}">
  <dimension ref="A1:L24"/>
  <sheetViews>
    <sheetView tabSelected="1" workbookViewId="0">
      <selection activeCell="H15" sqref="H15"/>
    </sheetView>
  </sheetViews>
  <sheetFormatPr defaultRowHeight="15" x14ac:dyDescent="0.25"/>
  <cols>
    <col min="1" max="1" width="12.28515625" bestFit="1" customWidth="1"/>
    <col min="2" max="2" width="12.85546875" customWidth="1"/>
    <col min="3" max="3" width="16.85546875" bestFit="1" customWidth="1"/>
    <col min="4" max="4" width="16.5703125" customWidth="1"/>
    <col min="5" max="5" width="14.28515625" bestFit="1" customWidth="1"/>
    <col min="6" max="6" width="15.28515625" bestFit="1" customWidth="1"/>
    <col min="7" max="7" width="12.85546875" bestFit="1" customWidth="1"/>
    <col min="8" max="8" width="15.28515625" bestFit="1" customWidth="1"/>
    <col min="9" max="10" width="16.85546875" bestFit="1" customWidth="1"/>
    <col min="11" max="11" width="15.28515625" bestFit="1" customWidth="1"/>
    <col min="12" max="12" width="10.5703125" bestFit="1" customWidth="1"/>
  </cols>
  <sheetData>
    <row r="1" spans="1:12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8</v>
      </c>
      <c r="K1" t="s">
        <v>10</v>
      </c>
    </row>
    <row r="2" spans="1:12" x14ac:dyDescent="0.25">
      <c r="A2" s="1">
        <v>45000</v>
      </c>
      <c r="B2" s="1">
        <v>89500</v>
      </c>
      <c r="C2" s="1">
        <f t="shared" ref="C2:C8" si="0">A2*55%*B2</f>
        <v>2215125000.0000005</v>
      </c>
      <c r="D2" s="1">
        <f>0.4005/1.09*J2-G2/1.09-E2</f>
        <v>1461745642.2018349</v>
      </c>
      <c r="E2" s="1">
        <f>IF(A2&lt;1000,0,17900000)</f>
        <v>17900000</v>
      </c>
      <c r="F2" s="1">
        <f>ROUND(SUM(C2:E2)*3%,-3)</f>
        <v>110843000</v>
      </c>
      <c r="G2" s="1">
        <v>200000</v>
      </c>
      <c r="H2" s="1">
        <f t="shared" ref="H2:H8" si="1">ROUND(SUM(C2:E2)*6%,0)</f>
        <v>221686239</v>
      </c>
      <c r="I2" s="1">
        <f>SUM(C2:H2)</f>
        <v>4027499881.2018356</v>
      </c>
      <c r="J2" s="1">
        <f t="shared" ref="J2:J8" si="2">A2*B2</f>
        <v>4027500000</v>
      </c>
      <c r="K2" s="2">
        <f>SUM(F2:H2)</f>
        <v>332729239</v>
      </c>
      <c r="L2" s="2"/>
    </row>
    <row r="3" spans="1:12" x14ac:dyDescent="0.25">
      <c r="A3" s="1">
        <v>22750</v>
      </c>
      <c r="B3" s="1">
        <v>89500</v>
      </c>
      <c r="C3" s="1">
        <f t="shared" si="0"/>
        <v>1119868750.0000002</v>
      </c>
      <c r="D3" s="1">
        <f t="shared" ref="D3:D11" si="3">0.4005/1.09*J3-G3/1.09-E3</f>
        <v>730052350.91743124</v>
      </c>
      <c r="E3" s="1">
        <f t="shared" ref="E3:E11" si="4">IF(A3&lt;1000,0,17900000)</f>
        <v>17900000</v>
      </c>
      <c r="F3" s="1">
        <f t="shared" ref="F3:F11" si="5">ROUND(SUM(C3:E3)*3%,-3)</f>
        <v>56035000</v>
      </c>
      <c r="G3" s="1">
        <v>200000</v>
      </c>
      <c r="H3" s="1">
        <f t="shared" si="1"/>
        <v>112069266</v>
      </c>
      <c r="I3" s="1">
        <f t="shared" ref="I2:I8" si="6">SUM(C3:H3)</f>
        <v>2036125366.9174314</v>
      </c>
      <c r="J3" s="1">
        <f t="shared" si="2"/>
        <v>2036125000</v>
      </c>
      <c r="K3" s="2">
        <f t="shared" ref="K3:K11" si="7">SUM(F3:H3)</f>
        <v>168304266</v>
      </c>
      <c r="L3" s="2"/>
    </row>
    <row r="4" spans="1:12" x14ac:dyDescent="0.25">
      <c r="A4" s="1">
        <v>21500</v>
      </c>
      <c r="B4" s="1">
        <v>89500</v>
      </c>
      <c r="C4" s="1">
        <f t="shared" si="0"/>
        <v>1058337500.0000001</v>
      </c>
      <c r="D4" s="1">
        <f t="shared" si="3"/>
        <v>688945986.23853219</v>
      </c>
      <c r="E4" s="1">
        <f t="shared" si="4"/>
        <v>17900000</v>
      </c>
      <c r="F4" s="1">
        <f t="shared" si="5"/>
        <v>52956000</v>
      </c>
      <c r="G4" s="1">
        <v>200000</v>
      </c>
      <c r="H4" s="1">
        <f t="shared" si="1"/>
        <v>105911009</v>
      </c>
      <c r="I4" s="1">
        <f t="shared" si="6"/>
        <v>1924250495.2385323</v>
      </c>
      <c r="J4" s="1">
        <f t="shared" si="2"/>
        <v>1924250000</v>
      </c>
      <c r="K4" s="2">
        <f t="shared" si="7"/>
        <v>159067009</v>
      </c>
      <c r="L4" s="2"/>
    </row>
    <row r="5" spans="1:12" x14ac:dyDescent="0.25">
      <c r="A5" s="1">
        <v>66214.28</v>
      </c>
      <c r="B5" s="1">
        <v>89500</v>
      </c>
      <c r="C5" s="1">
        <f t="shared" si="0"/>
        <v>3259397933</v>
      </c>
      <c r="D5" s="1">
        <f t="shared" si="3"/>
        <v>2159379186.2660551</v>
      </c>
      <c r="E5" s="1">
        <f t="shared" si="4"/>
        <v>17900000</v>
      </c>
      <c r="F5" s="1">
        <f t="shared" si="5"/>
        <v>163100000</v>
      </c>
      <c r="G5" s="1">
        <v>200000</v>
      </c>
      <c r="H5" s="1">
        <f t="shared" si="1"/>
        <v>326200627</v>
      </c>
      <c r="I5" s="1">
        <f t="shared" si="6"/>
        <v>5926177746.2660551</v>
      </c>
      <c r="J5" s="1">
        <f t="shared" si="2"/>
        <v>5926178060</v>
      </c>
      <c r="K5" s="2">
        <f t="shared" si="7"/>
        <v>489500627</v>
      </c>
      <c r="L5" s="2"/>
    </row>
    <row r="6" spans="1:12" x14ac:dyDescent="0.25">
      <c r="A6" s="1">
        <v>49000</v>
      </c>
      <c r="B6" s="1">
        <v>89500</v>
      </c>
      <c r="C6" s="1">
        <f t="shared" si="0"/>
        <v>2412025000.0000005</v>
      </c>
      <c r="D6" s="1">
        <f t="shared" si="3"/>
        <v>1593286009.1743121</v>
      </c>
      <c r="E6" s="1">
        <f t="shared" si="4"/>
        <v>17900000</v>
      </c>
      <c r="F6" s="1">
        <f t="shared" si="5"/>
        <v>120696000</v>
      </c>
      <c r="G6" s="1">
        <v>200000</v>
      </c>
      <c r="H6" s="1">
        <f t="shared" si="1"/>
        <v>241392661</v>
      </c>
      <c r="I6" s="1">
        <f t="shared" si="6"/>
        <v>4385499670.1743126</v>
      </c>
      <c r="J6" s="1">
        <f t="shared" si="2"/>
        <v>4385500000</v>
      </c>
      <c r="K6" s="2">
        <f t="shared" si="7"/>
        <v>362288661</v>
      </c>
      <c r="L6" s="2"/>
    </row>
    <row r="7" spans="1:12" x14ac:dyDescent="0.25">
      <c r="A7" s="1">
        <v>35000</v>
      </c>
      <c r="B7" s="1">
        <v>89500</v>
      </c>
      <c r="C7" s="1">
        <f t="shared" si="0"/>
        <v>1722875000</v>
      </c>
      <c r="D7" s="1">
        <f t="shared" si="3"/>
        <v>1132894724.7706423</v>
      </c>
      <c r="E7" s="1">
        <f t="shared" si="4"/>
        <v>17900000</v>
      </c>
      <c r="F7" s="1">
        <f t="shared" si="5"/>
        <v>86210000</v>
      </c>
      <c r="G7" s="1">
        <v>200000</v>
      </c>
      <c r="H7" s="1">
        <f t="shared" si="1"/>
        <v>172420183</v>
      </c>
      <c r="I7" s="1">
        <f t="shared" si="6"/>
        <v>3132499907.7706423</v>
      </c>
      <c r="J7" s="1">
        <f t="shared" si="2"/>
        <v>3132500000</v>
      </c>
      <c r="K7" s="2">
        <f t="shared" si="7"/>
        <v>258830183</v>
      </c>
      <c r="L7" s="2"/>
    </row>
    <row r="8" spans="1:12" x14ac:dyDescent="0.25">
      <c r="A8" s="1">
        <v>20000</v>
      </c>
      <c r="B8" s="1">
        <v>89500</v>
      </c>
      <c r="C8" s="1">
        <f t="shared" si="0"/>
        <v>984500000</v>
      </c>
      <c r="D8" s="1">
        <f t="shared" si="3"/>
        <v>639618348.62385333</v>
      </c>
      <c r="E8" s="1">
        <f t="shared" si="4"/>
        <v>17900000</v>
      </c>
      <c r="F8" s="1">
        <f t="shared" si="5"/>
        <v>49261000</v>
      </c>
      <c r="G8" s="1">
        <v>200000</v>
      </c>
      <c r="H8" s="1">
        <f t="shared" si="1"/>
        <v>98521101</v>
      </c>
      <c r="I8" s="1">
        <f t="shared" si="6"/>
        <v>1790000449.6238532</v>
      </c>
      <c r="J8" s="1">
        <f t="shared" si="2"/>
        <v>1790000000</v>
      </c>
      <c r="K8" s="2">
        <f t="shared" si="7"/>
        <v>147982101</v>
      </c>
      <c r="L8" s="2"/>
    </row>
    <row r="9" spans="1:12" x14ac:dyDescent="0.25">
      <c r="A9" s="1">
        <v>5000</v>
      </c>
      <c r="B9" s="1">
        <v>89500</v>
      </c>
      <c r="C9" s="1">
        <f t="shared" ref="C9" si="8">A9*55%*B9</f>
        <v>246125000</v>
      </c>
      <c r="D9" s="1">
        <f t="shared" si="3"/>
        <v>146341972.47706425</v>
      </c>
      <c r="E9" s="1">
        <f t="shared" si="4"/>
        <v>17900000</v>
      </c>
      <c r="F9" s="1">
        <f t="shared" si="5"/>
        <v>12311000</v>
      </c>
      <c r="G9" s="1">
        <v>200000</v>
      </c>
      <c r="H9" s="1">
        <f t="shared" ref="H9" si="9">ROUND(SUM(C9:E9)*6%,0)</f>
        <v>24622018</v>
      </c>
      <c r="I9" s="1">
        <f>SUM(C9:H9)</f>
        <v>447499990.47706425</v>
      </c>
      <c r="J9" s="1">
        <f>A9*B9</f>
        <v>447500000</v>
      </c>
      <c r="K9" s="2">
        <f t="shared" si="7"/>
        <v>37133018</v>
      </c>
      <c r="L9" s="2"/>
    </row>
    <row r="10" spans="1:12" x14ac:dyDescent="0.25">
      <c r="A10" s="1">
        <v>15000</v>
      </c>
      <c r="B10" s="1">
        <v>89500</v>
      </c>
      <c r="C10" s="1">
        <f t="shared" ref="C10:C11" si="10">A10*55%*B10</f>
        <v>738375000</v>
      </c>
      <c r="D10" s="1">
        <f t="shared" si="3"/>
        <v>475192889.90825689</v>
      </c>
      <c r="E10" s="1">
        <f t="shared" si="4"/>
        <v>17900000</v>
      </c>
      <c r="F10" s="1">
        <f t="shared" si="5"/>
        <v>36944000</v>
      </c>
      <c r="G10" s="1">
        <v>200000</v>
      </c>
      <c r="H10" s="1">
        <f t="shared" ref="H10" si="11">ROUND(SUM(C10:E10)*6%,0)</f>
        <v>73888073</v>
      </c>
      <c r="I10" s="1">
        <f>SUM(C10:H10)</f>
        <v>1342499962.908257</v>
      </c>
      <c r="J10" s="1">
        <f>A10*B10</f>
        <v>1342500000</v>
      </c>
      <c r="K10" s="2">
        <f t="shared" si="7"/>
        <v>111032073</v>
      </c>
      <c r="L10" s="2"/>
    </row>
    <row r="11" spans="1:12" x14ac:dyDescent="0.25">
      <c r="A11" s="1">
        <v>9428.57</v>
      </c>
      <c r="B11" s="1">
        <v>89500</v>
      </c>
      <c r="C11" s="1">
        <f t="shared" si="10"/>
        <v>464121358.25</v>
      </c>
      <c r="D11" s="1">
        <f t="shared" si="3"/>
        <v>291975903.2178899</v>
      </c>
      <c r="E11" s="1">
        <f t="shared" si="4"/>
        <v>17900000</v>
      </c>
      <c r="F11" s="1">
        <f t="shared" si="5"/>
        <v>23220000</v>
      </c>
      <c r="G11" s="1">
        <v>200000</v>
      </c>
      <c r="H11" s="1">
        <f t="shared" ref="H11" si="12">ROUND(SUM(C11:E11)*6%,0)</f>
        <v>46439836</v>
      </c>
      <c r="I11" s="1">
        <f>SUM(C11:H11)</f>
        <v>843857097.4678899</v>
      </c>
      <c r="J11" s="1">
        <f>A11*B11</f>
        <v>843857015</v>
      </c>
      <c r="K11" s="2">
        <f t="shared" si="7"/>
        <v>69859836</v>
      </c>
      <c r="L11" s="2"/>
    </row>
    <row r="13" spans="1:12" x14ac:dyDescent="0.25">
      <c r="C13" s="2"/>
    </row>
    <row r="14" spans="1:12" x14ac:dyDescent="0.25">
      <c r="C14" s="2"/>
    </row>
    <row r="15" spans="1:12" x14ac:dyDescent="0.25">
      <c r="C15" s="2"/>
    </row>
    <row r="16" spans="1:12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Samer Cheaib</dc:creator>
  <cp:lastModifiedBy>Jessica Khattar</cp:lastModifiedBy>
  <dcterms:created xsi:type="dcterms:W3CDTF">2024-04-04T11:09:48Z</dcterms:created>
  <dcterms:modified xsi:type="dcterms:W3CDTF">2026-04-16T07:03:12Z</dcterms:modified>
</cp:coreProperties>
</file>